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\Desktop\"/>
    </mc:Choice>
  </mc:AlternateContent>
  <xr:revisionPtr revIDLastSave="0" documentId="13_ncr:9_{F14FB390-6A51-441F-B3CC-6AE78FC9F9C8}" xr6:coauthVersionLast="47" xr6:coauthVersionMax="47" xr10:uidLastSave="{00000000-0000-0000-0000-000000000000}"/>
  <bookViews>
    <workbookView xWindow="-108" yWindow="-108" windowWidth="23256" windowHeight="13176" xr2:uid="{CF6376A1-3580-409C-BCBC-ACC8523D7026}"/>
  </bookViews>
  <sheets>
    <sheet name="EksamensProjektDALO" sheetId="1" r:id="rId1"/>
    <sheet name="9dec" sheetId="2" r:id="rId2"/>
    <sheet name="10dec" sheetId="3" r:id="rId3"/>
    <sheet name="11dec" sheetId="4" r:id="rId4"/>
    <sheet name="12dec" sheetId="5" r:id="rId5"/>
  </sheets>
  <calcPr calcId="0"/>
</workbook>
</file>

<file path=xl/calcChain.xml><?xml version="1.0" encoding="utf-8"?>
<calcChain xmlns="http://schemas.openxmlformats.org/spreadsheetml/2006/main">
  <c r="O18" i="3" l="1"/>
  <c r="O17" i="3"/>
  <c r="O16" i="3"/>
  <c r="O15" i="3"/>
  <c r="O14" i="3"/>
  <c r="O13" i="3"/>
  <c r="O12" i="3"/>
  <c r="O11" i="3"/>
  <c r="O10" i="3"/>
  <c r="O20" i="4"/>
  <c r="O19" i="4"/>
  <c r="O18" i="4"/>
  <c r="O17" i="4"/>
  <c r="O16" i="4"/>
  <c r="O15" i="4"/>
  <c r="O14" i="4"/>
  <c r="O13" i="4"/>
  <c r="O12" i="4"/>
  <c r="O11" i="4"/>
  <c r="O10" i="4"/>
  <c r="O9" i="4"/>
  <c r="N21" i="2"/>
  <c r="O25" i="2"/>
  <c r="N25" i="2"/>
  <c r="M25" i="2"/>
  <c r="L25" i="2"/>
  <c r="K25" i="2"/>
  <c r="O24" i="2"/>
  <c r="N24" i="2"/>
  <c r="M24" i="2"/>
  <c r="L24" i="2"/>
  <c r="K24" i="2"/>
  <c r="O23" i="2"/>
  <c r="N23" i="2"/>
  <c r="M23" i="2"/>
  <c r="L23" i="2"/>
  <c r="K23" i="2"/>
  <c r="O22" i="2"/>
  <c r="N22" i="2"/>
  <c r="M22" i="2"/>
  <c r="L22" i="2"/>
  <c r="K22" i="2"/>
  <c r="O21" i="2"/>
  <c r="M21" i="2"/>
  <c r="L21" i="2"/>
  <c r="K21" i="2"/>
  <c r="O20" i="2"/>
  <c r="N20" i="2"/>
  <c r="M20" i="2"/>
  <c r="L20" i="2"/>
  <c r="K20" i="2"/>
  <c r="O19" i="2"/>
  <c r="N19" i="2"/>
  <c r="M19" i="2"/>
  <c r="L19" i="2"/>
  <c r="K19" i="2"/>
  <c r="O18" i="2"/>
  <c r="N18" i="2"/>
  <c r="M18" i="2"/>
  <c r="L18" i="2"/>
  <c r="K18" i="2"/>
  <c r="O17" i="2"/>
  <c r="N17" i="2"/>
  <c r="M17" i="2"/>
  <c r="L17" i="2"/>
  <c r="K17" i="2"/>
  <c r="O16" i="2"/>
  <c r="N16" i="2"/>
  <c r="M16" i="2"/>
  <c r="L16" i="2"/>
  <c r="K16" i="2"/>
  <c r="O15" i="2"/>
  <c r="N15" i="2"/>
  <c r="M15" i="2"/>
  <c r="L15" i="2"/>
  <c r="K15" i="2"/>
  <c r="O14" i="2"/>
  <c r="N14" i="2"/>
  <c r="M14" i="2"/>
  <c r="L14" i="2"/>
  <c r="K14" i="2"/>
  <c r="O13" i="2"/>
  <c r="N13" i="2"/>
  <c r="M13" i="2"/>
  <c r="L13" i="2"/>
  <c r="K13" i="2"/>
  <c r="O12" i="2"/>
  <c r="N12" i="2"/>
  <c r="M12" i="2"/>
  <c r="L12" i="2"/>
  <c r="K12" i="2"/>
  <c r="O11" i="2"/>
  <c r="N11" i="2"/>
  <c r="M11" i="2"/>
  <c r="L11" i="2"/>
  <c r="K11" i="2"/>
  <c r="O10" i="2"/>
  <c r="N10" i="2"/>
  <c r="M10" i="2"/>
  <c r="L10" i="2"/>
  <c r="K10" i="2"/>
  <c r="O9" i="2"/>
  <c r="N9" i="2"/>
  <c r="M9" i="2"/>
  <c r="L9" i="2"/>
  <c r="K9" i="2"/>
  <c r="O8" i="2"/>
  <c r="N8" i="2"/>
  <c r="M8" i="2"/>
  <c r="L8" i="2"/>
  <c r="K8" i="2"/>
  <c r="O7" i="2"/>
  <c r="N7" i="2"/>
  <c r="M7" i="2"/>
  <c r="L7" i="2"/>
  <c r="K7" i="2"/>
  <c r="O6" i="2"/>
  <c r="N6" i="2"/>
  <c r="M6" i="2"/>
  <c r="L6" i="2"/>
  <c r="K6" i="2"/>
  <c r="O5" i="2"/>
  <c r="N5" i="2"/>
  <c r="M5" i="2"/>
  <c r="L5" i="2"/>
  <c r="K5" i="2"/>
  <c r="O4" i="2"/>
  <c r="N4" i="2"/>
  <c r="M4" i="2"/>
  <c r="L4" i="2"/>
  <c r="K4" i="2"/>
  <c r="O3" i="2"/>
  <c r="N3" i="2"/>
  <c r="M3" i="2"/>
  <c r="L3" i="2"/>
  <c r="K3" i="2"/>
  <c r="O2" i="2"/>
  <c r="N2" i="2"/>
  <c r="M2" i="2"/>
  <c r="L2" i="2"/>
  <c r="K2" i="2"/>
  <c r="O25" i="5"/>
  <c r="N25" i="5"/>
  <c r="M25" i="5"/>
  <c r="L25" i="5"/>
  <c r="K25" i="5"/>
  <c r="O24" i="5"/>
  <c r="N24" i="5"/>
  <c r="M24" i="5"/>
  <c r="L24" i="5"/>
  <c r="K24" i="5"/>
  <c r="O23" i="5"/>
  <c r="N23" i="5"/>
  <c r="M23" i="5"/>
  <c r="L23" i="5"/>
  <c r="K23" i="5"/>
  <c r="O22" i="5"/>
  <c r="N22" i="5"/>
  <c r="M22" i="5"/>
  <c r="L22" i="5"/>
  <c r="K22" i="5"/>
  <c r="O21" i="5"/>
  <c r="N21" i="5"/>
  <c r="M21" i="5"/>
  <c r="L21" i="5"/>
  <c r="K21" i="5"/>
  <c r="O20" i="5"/>
  <c r="N20" i="5"/>
  <c r="M20" i="5"/>
  <c r="L20" i="5"/>
  <c r="K20" i="5"/>
  <c r="O19" i="5"/>
  <c r="N19" i="5"/>
  <c r="M19" i="5"/>
  <c r="L19" i="5"/>
  <c r="K19" i="5"/>
  <c r="O18" i="5"/>
  <c r="N18" i="5"/>
  <c r="M18" i="5"/>
  <c r="L18" i="5"/>
  <c r="K18" i="5"/>
  <c r="O17" i="5"/>
  <c r="N17" i="5"/>
  <c r="M17" i="5"/>
  <c r="L17" i="5"/>
  <c r="K17" i="5"/>
  <c r="O16" i="5"/>
  <c r="N16" i="5"/>
  <c r="M16" i="5"/>
  <c r="L16" i="5"/>
  <c r="K16" i="5"/>
  <c r="O15" i="5"/>
  <c r="N15" i="5"/>
  <c r="M15" i="5"/>
  <c r="L15" i="5"/>
  <c r="K15" i="5"/>
  <c r="O14" i="5"/>
  <c r="N14" i="5"/>
  <c r="M14" i="5"/>
  <c r="L14" i="5"/>
  <c r="K14" i="5"/>
  <c r="O13" i="5"/>
  <c r="N13" i="5"/>
  <c r="M13" i="5"/>
  <c r="L13" i="5"/>
  <c r="K13" i="5"/>
  <c r="O12" i="5"/>
  <c r="N12" i="5"/>
  <c r="M12" i="5"/>
  <c r="L12" i="5"/>
  <c r="K12" i="5"/>
  <c r="O11" i="5"/>
  <c r="N11" i="5"/>
  <c r="M11" i="5"/>
  <c r="L11" i="5"/>
  <c r="K11" i="5"/>
  <c r="O10" i="5"/>
  <c r="N10" i="5"/>
  <c r="M10" i="5"/>
  <c r="L10" i="5"/>
  <c r="K10" i="5"/>
  <c r="O9" i="5"/>
  <c r="N9" i="5"/>
  <c r="M9" i="5"/>
  <c r="L9" i="5"/>
  <c r="K9" i="5"/>
  <c r="O8" i="5"/>
  <c r="N8" i="5"/>
  <c r="M8" i="5"/>
  <c r="L8" i="5"/>
  <c r="K8" i="5"/>
  <c r="O7" i="5"/>
  <c r="N7" i="5"/>
  <c r="M7" i="5"/>
  <c r="L7" i="5"/>
  <c r="K7" i="5"/>
  <c r="O6" i="5"/>
  <c r="N6" i="5"/>
  <c r="M6" i="5"/>
  <c r="L6" i="5"/>
  <c r="K6" i="5"/>
  <c r="O5" i="5"/>
  <c r="N5" i="5"/>
  <c r="M5" i="5"/>
  <c r="L5" i="5"/>
  <c r="K5" i="5"/>
  <c r="O4" i="5"/>
  <c r="N4" i="5"/>
  <c r="M4" i="5"/>
  <c r="L4" i="5"/>
  <c r="K4" i="5"/>
  <c r="O3" i="5"/>
  <c r="N3" i="5"/>
  <c r="M3" i="5"/>
  <c r="L3" i="5"/>
  <c r="K3" i="5"/>
  <c r="O2" i="5"/>
  <c r="N2" i="5"/>
  <c r="M2" i="5"/>
  <c r="L2" i="5"/>
  <c r="K2" i="5"/>
  <c r="O25" i="4"/>
  <c r="N25" i="4"/>
  <c r="M25" i="4"/>
  <c r="L25" i="4"/>
  <c r="K25" i="4"/>
  <c r="O24" i="4"/>
  <c r="N24" i="4"/>
  <c r="M24" i="4"/>
  <c r="L24" i="4"/>
  <c r="K24" i="4"/>
  <c r="O23" i="4"/>
  <c r="N23" i="4"/>
  <c r="M23" i="4"/>
  <c r="L23" i="4"/>
  <c r="K23" i="4"/>
  <c r="O22" i="4"/>
  <c r="N22" i="4"/>
  <c r="M22" i="4"/>
  <c r="L22" i="4"/>
  <c r="K22" i="4"/>
  <c r="O21" i="4"/>
  <c r="N21" i="4"/>
  <c r="M21" i="4"/>
  <c r="L21" i="4"/>
  <c r="K21" i="4"/>
  <c r="N20" i="4"/>
  <c r="M20" i="4"/>
  <c r="L20" i="4"/>
  <c r="K20" i="4"/>
  <c r="N19" i="4"/>
  <c r="M19" i="4"/>
  <c r="L19" i="4"/>
  <c r="K19" i="4"/>
  <c r="N18" i="4"/>
  <c r="M18" i="4"/>
  <c r="L18" i="4"/>
  <c r="K18" i="4"/>
  <c r="N17" i="4"/>
  <c r="M17" i="4"/>
  <c r="L17" i="4"/>
  <c r="K17" i="4"/>
  <c r="N16" i="4"/>
  <c r="M16" i="4"/>
  <c r="L16" i="4"/>
  <c r="K16" i="4"/>
  <c r="N15" i="4"/>
  <c r="M15" i="4"/>
  <c r="L15" i="4"/>
  <c r="K15" i="4"/>
  <c r="N14" i="4"/>
  <c r="M14" i="4"/>
  <c r="L14" i="4"/>
  <c r="K14" i="4"/>
  <c r="N13" i="4"/>
  <c r="M13" i="4"/>
  <c r="L13" i="4"/>
  <c r="K13" i="4"/>
  <c r="N12" i="4"/>
  <c r="M12" i="4"/>
  <c r="L12" i="4"/>
  <c r="K12" i="4"/>
  <c r="N11" i="4"/>
  <c r="M11" i="4"/>
  <c r="L11" i="4"/>
  <c r="K11" i="4"/>
  <c r="N10" i="4"/>
  <c r="M10" i="4"/>
  <c r="L10" i="4"/>
  <c r="K10" i="4"/>
  <c r="N9" i="4"/>
  <c r="M9" i="4"/>
  <c r="L9" i="4"/>
  <c r="K9" i="4"/>
  <c r="O8" i="4"/>
  <c r="N8" i="4"/>
  <c r="M8" i="4"/>
  <c r="L8" i="4"/>
  <c r="K8" i="4"/>
  <c r="O7" i="4"/>
  <c r="N7" i="4"/>
  <c r="M7" i="4"/>
  <c r="L7" i="4"/>
  <c r="K7" i="4"/>
  <c r="O6" i="4"/>
  <c r="N6" i="4"/>
  <c r="M6" i="4"/>
  <c r="L6" i="4"/>
  <c r="K6" i="4"/>
  <c r="O5" i="4"/>
  <c r="N5" i="4"/>
  <c r="M5" i="4"/>
  <c r="L5" i="4"/>
  <c r="K5" i="4"/>
  <c r="O4" i="4"/>
  <c r="N4" i="4"/>
  <c r="M4" i="4"/>
  <c r="L4" i="4"/>
  <c r="K4" i="4"/>
  <c r="O3" i="4"/>
  <c r="N3" i="4"/>
  <c r="M3" i="4"/>
  <c r="L3" i="4"/>
  <c r="K3" i="4"/>
  <c r="O2" i="4"/>
  <c r="N2" i="4"/>
  <c r="M2" i="4"/>
  <c r="L2" i="4"/>
  <c r="K2" i="4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M2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L25" i="3"/>
  <c r="L24" i="3"/>
  <c r="L23" i="3"/>
  <c r="L22" i="3"/>
  <c r="L21" i="3"/>
  <c r="L20" i="3"/>
  <c r="K25" i="3"/>
  <c r="K24" i="3"/>
  <c r="K23" i="3"/>
  <c r="K22" i="3"/>
  <c r="K21" i="3"/>
  <c r="K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O25" i="3"/>
  <c r="O24" i="3"/>
  <c r="O23" i="3"/>
  <c r="O22" i="3"/>
  <c r="O21" i="3"/>
  <c r="O20" i="3"/>
  <c r="O19" i="3"/>
  <c r="O9" i="3"/>
  <c r="O8" i="3"/>
  <c r="O7" i="3"/>
  <c r="O6" i="3"/>
  <c r="O5" i="3"/>
  <c r="O4" i="3"/>
  <c r="O3" i="3"/>
  <c r="O2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</calcChain>
</file>

<file path=xl/sharedStrings.xml><?xml version="1.0" encoding="utf-8"?>
<sst xmlns="http://schemas.openxmlformats.org/spreadsheetml/2006/main" count="744" uniqueCount="37">
  <si>
    <t>Dato</t>
  </si>
  <si>
    <t>Tid</t>
  </si>
  <si>
    <t>Temp_INDE</t>
  </si>
  <si>
    <t>Fugt_INDE</t>
  </si>
  <si>
    <t>Temp_UDE</t>
  </si>
  <si>
    <t>Fugt_UDE</t>
  </si>
  <si>
    <t>Lys_INTENSITET</t>
  </si>
  <si>
    <t>Tidsinterval</t>
  </si>
  <si>
    <t>18:00-19:00</t>
  </si>
  <si>
    <t>19:00-20:00</t>
  </si>
  <si>
    <t>20:00-21:00</t>
  </si>
  <si>
    <t>21:00-22:00</t>
  </si>
  <si>
    <t>22:00-23:00</t>
  </si>
  <si>
    <t>23:00-00:00</t>
  </si>
  <si>
    <t>00:01-01:00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</si>
  <si>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</si>
  <si>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</si>
  <si>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</si>
  <si>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</si>
  <si>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</si>
  <si>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</si>
  <si>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</si>
  <si>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</si>
  <si>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</si>
  <si>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</si>
  <si>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</si>
  <si>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</si>
  <si>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</si>
  <si>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</si>
  <si>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</si>
  <si>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</si>
  <si>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</si>
  <si>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T - inde</t>
  </si>
  <si>
    <t>T - ude</t>
  </si>
  <si>
    <t>Hum - Inde</t>
  </si>
  <si>
    <t>Hum - Ude</t>
  </si>
  <si>
    <t>Lysindex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</si>
</sst>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"/>
    <numFmt numFmtId="166" formatCode="[$-F400]h:mm:ss\ am/pm"/>
    <numFmt numFmtId="169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21" fontId="0" fillId="0" borderId="0" xfId="0" applyNumberFormat="1"/>
    <xf numFmtId="9" fontId="0" fillId="0" borderId="0" xfId="0" applyNumberFormat="1"/>
    <xf numFmtId="16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10" fontId="0" fillId="0" borderId="0" xfId="0" applyNumberFormat="1"/>
    <xf numFmtId="1" fontId="0" fillId="0" borderId="0" xfId="0" applyNumberFormat="1"/>
    <xf numFmtId="16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9/12</a:t>
            </a:r>
            <a:r>
              <a:rPr lang="da-DK" baseline="0"/>
              <a:t> Temperatur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 inde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50C-4393-9136-5D8D035AC76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50C-4393-9136-5D8D035AC76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50C-4393-9136-5D8D035AC7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'9dec'!$J$20:$J$25</c:f>
              <c:strCache>
                <c:ptCount val="6"/>
                <c:pt idx="0">
                  <c:v>18:00-19:00</c:v>
                </c:pt>
                <c:pt idx="1">
                  <c:v>19:00-20:00</c:v>
                </c:pt>
                <c:pt idx="2">
                  <c:v>20:00-21:00</c:v>
                </c:pt>
                <c:pt idx="3">
                  <c:v>21:00-22:00</c:v>
                </c:pt>
                <c:pt idx="4">
                  <c:v>22:00-23:00</c:v>
                </c:pt>
                <c:pt idx="5">
                  <c:v>23:00-00:00</c:v>
                </c:pt>
              </c:strCache>
            </c:strRef>
          </c:cat>
          <c:val>
            <c:numRef>
              <c:f>'9dec'!$K$20:$K$25</c:f>
              <c:numCache>
                <c:formatCode>0.0</c:formatCode>
                <c:ptCount val="6"/>
                <c:pt idx="0">
                  <c:v>11.875</c:v>
                </c:pt>
                <c:pt idx="1">
                  <c:v>11.15</c:v>
                </c:pt>
                <c:pt idx="2">
                  <c:v>10.824999999999999</c:v>
                </c:pt>
                <c:pt idx="3">
                  <c:v>10.7</c:v>
                </c:pt>
                <c:pt idx="4">
                  <c:v>10.733333333333333</c:v>
                </c:pt>
                <c:pt idx="5">
                  <c:v>10.933333333333334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0C-4393-9136-5D8D035AC76B}"/>
            </c:ext>
          </c:extLst>
        </c:ser>
        <c:ser>
          <c:idx val="1"/>
          <c:order val="1"/>
          <c:tx>
            <c:v>T ude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50C-4393-9136-5D8D035AC76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50C-4393-9136-5D8D035AC7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'9dec'!$J$20:$J$25</c:f>
              <c:strCache>
                <c:ptCount val="6"/>
                <c:pt idx="0">
                  <c:v>18:00-19:00</c:v>
                </c:pt>
                <c:pt idx="1">
                  <c:v>19:00-20:00</c:v>
                </c:pt>
                <c:pt idx="2">
                  <c:v>20:00-21:00</c:v>
                </c:pt>
                <c:pt idx="3">
                  <c:v>21:00-22:00</c:v>
                </c:pt>
                <c:pt idx="4">
                  <c:v>22:00-23:00</c:v>
                </c:pt>
                <c:pt idx="5">
                  <c:v>23:00-00:00</c:v>
                </c:pt>
              </c:strCache>
            </c:strRef>
          </c:cat>
          <c:val>
            <c:numRef>
              <c:f>'9dec'!$L$20:$L$25</c:f>
              <c:numCache>
                <c:formatCode>0.0</c:formatCode>
                <c:ptCount val="6"/>
                <c:pt idx="0">
                  <c:v>10.4</c:v>
                </c:pt>
                <c:pt idx="1">
                  <c:v>10.4</c:v>
                </c:pt>
                <c:pt idx="2">
                  <c:v>9.9250000000000007</c:v>
                </c:pt>
                <c:pt idx="3">
                  <c:v>9.9</c:v>
                </c:pt>
                <c:pt idx="4">
                  <c:v>10.033333333333333</c:v>
                </c:pt>
                <c:pt idx="5">
                  <c:v>10.233333333333333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0C-4393-9136-5D8D035AC76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86486016"/>
        <c:axId val="38648313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Hum Inde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'9dec'!$J$20:$J$25</c15:sqref>
                        </c15:formulaRef>
                      </c:ext>
                    </c:extLst>
                    <c:strCache>
                      <c:ptCount val="6"/>
                      <c:pt idx="0">
                        <c:v>18:00-19:00</c:v>
                      </c:pt>
                      <c:pt idx="1">
                        <c:v>19:00-20:00</c:v>
                      </c:pt>
                      <c:pt idx="2">
                        <c:v>20:00-21:00</c:v>
                      </c:pt>
                      <c:pt idx="3">
                        <c:v>21:00-22:00</c:v>
                      </c:pt>
                      <c:pt idx="4">
                        <c:v>22:00-23:00</c:v>
                      </c:pt>
                      <c:pt idx="5">
                        <c:v>23:00-00:00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'9dec'!$M$20:$M$25</c15:sqref>
                        </c15:formulaRef>
                      </c:ext>
                    </c:extLst>
                    <c:numCache>
                      <c:formatCode>0.0%</c:formatCode>
                      <c:ptCount val="6"/>
                      <c:pt idx="0">
                        <c:v>0.86524999999999996</c:v>
                      </c:pt>
                      <c:pt idx="1">
                        <c:v>0.92699999999999994</c:v>
                      </c:pt>
                      <c:pt idx="2">
                        <c:v>0.81099999999999994</c:v>
                      </c:pt>
                      <c:pt idx="3">
                        <c:v>0.80525000000000002</c:v>
                      </c:pt>
                      <c:pt idx="4">
                        <c:v>0.80866666666666664</c:v>
                      </c:pt>
                      <c:pt idx="5">
                        <c:v>0.83066666666666666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50C-4393-9136-5D8D035AC76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Hum Ude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'9dec'!$J$20:$J$25</c15:sqref>
                        </c15:formulaRef>
                      </c:ext>
                    </c:extLst>
                    <c:strCache>
                      <c:ptCount val="6"/>
                      <c:pt idx="0">
                        <c:v>18:00-19:00</c:v>
                      </c:pt>
                      <c:pt idx="1">
                        <c:v>19:00-20:00</c:v>
                      </c:pt>
                      <c:pt idx="2">
                        <c:v>20:00-21:00</c:v>
                      </c:pt>
                      <c:pt idx="3">
                        <c:v>21:00-22:00</c:v>
                      </c:pt>
                      <c:pt idx="4">
                        <c:v>22:00-23:00</c:v>
                      </c:pt>
                      <c:pt idx="5">
                        <c:v>23:00-00:00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'9dec'!$N$20:$N$25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50C-4393-9136-5D8D035AC76B}"/>
                  </c:ext>
                </c:extLst>
              </c15:ser>
            </c15:filteredLineSeries>
          </c:ext>
        </c:extLst>
      </c:lineChart>
      <c:catAx>
        <c:axId val="38648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86483136"/>
        <c:crosses val="autoZero"/>
        <c:auto val="1"/>
        <c:lblAlgn val="ctr"/>
        <c:lblOffset val="100"/>
        <c:noMultiLvlLbl val="0"/>
      </c:catAx>
      <c:valAx>
        <c:axId val="386483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Temperatur</a:t>
                </a:r>
                <a:r>
                  <a:rPr lang="da-DK" baseline="0"/>
                  <a:t> , C◦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8648601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9/12</a:t>
            </a:r>
            <a:r>
              <a:rPr lang="da-DK" baseline="0"/>
              <a:t> Luftfugtighed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v>Hum Inde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757-470A-B599-F7730F9837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57-470A-B599-F7730F98376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757-470A-B599-F7730F98376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757-470A-B599-F7730F9837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'9dec'!$J$20:$J$25</c:f>
              <c:strCache>
                <c:ptCount val="6"/>
                <c:pt idx="0">
                  <c:v>18:00-19:00</c:v>
                </c:pt>
                <c:pt idx="1">
                  <c:v>19:00-20:00</c:v>
                </c:pt>
                <c:pt idx="2">
                  <c:v>20:00-21:00</c:v>
                </c:pt>
                <c:pt idx="3">
                  <c:v>21:00-22:00</c:v>
                </c:pt>
                <c:pt idx="4">
                  <c:v>22:00-23:00</c:v>
                </c:pt>
                <c:pt idx="5">
                  <c:v>23:00-00:00</c:v>
                </c:pt>
              </c:strCache>
              <c:extLst xmlns:c15="http://schemas.microsoft.com/office/drawing/2012/chart"/>
            </c:strRef>
          </c:cat>
          <c:val>
            <c:numRef>
              <c:f>'9dec'!$M$20:$M$25</c:f>
              <c:numCache>
                <c:formatCode>0.0%</c:formatCode>
                <c:ptCount val="6"/>
                <c:pt idx="0">
                  <c:v>0.86524999999999996</c:v>
                </c:pt>
                <c:pt idx="1">
                  <c:v>0.92699999999999994</c:v>
                </c:pt>
                <c:pt idx="2">
                  <c:v>0.81099999999999994</c:v>
                </c:pt>
                <c:pt idx="3">
                  <c:v>0.80525000000000002</c:v>
                </c:pt>
                <c:pt idx="4">
                  <c:v>0.80866666666666664</c:v>
                </c:pt>
                <c:pt idx="5">
                  <c:v>0.83066666666666666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9757-470A-B599-F7730F983765}"/>
            </c:ext>
          </c:extLst>
        </c:ser>
        <c:ser>
          <c:idx val="3"/>
          <c:order val="3"/>
          <c:tx>
            <c:v>Hum Ude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'9dec'!$J$20:$J$25</c:f>
              <c:strCache>
                <c:ptCount val="6"/>
                <c:pt idx="0">
                  <c:v>18:00-19:00</c:v>
                </c:pt>
                <c:pt idx="1">
                  <c:v>19:00-20:00</c:v>
                </c:pt>
                <c:pt idx="2">
                  <c:v>20:00-21:00</c:v>
                </c:pt>
                <c:pt idx="3">
                  <c:v>21:00-22:00</c:v>
                </c:pt>
                <c:pt idx="4">
                  <c:v>22:00-23:00</c:v>
                </c:pt>
                <c:pt idx="5">
                  <c:v>23:00-00:00</c:v>
                </c:pt>
              </c:strCache>
              <c:extLst xmlns:c15="http://schemas.microsoft.com/office/drawing/2012/chart"/>
            </c:strRef>
          </c:cat>
          <c:val>
            <c:numRef>
              <c:f>'9dec'!$N$20:$N$25</c:f>
              <c:numCache>
                <c:formatCode>0.00%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9757-470A-B599-F7730F9837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86486016"/>
        <c:axId val="3864831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T inde</c:v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'9dec'!$J$20:$J$25</c15:sqref>
                        </c15:formulaRef>
                      </c:ext>
                    </c:extLst>
                    <c:strCache>
                      <c:ptCount val="6"/>
                      <c:pt idx="0">
                        <c:v>18:00-19:00</c:v>
                      </c:pt>
                      <c:pt idx="1">
                        <c:v>19:00-20:00</c:v>
                      </c:pt>
                      <c:pt idx="2">
                        <c:v>20:00-21:00</c:v>
                      </c:pt>
                      <c:pt idx="3">
                        <c:v>21:00-22:00</c:v>
                      </c:pt>
                      <c:pt idx="4">
                        <c:v>22:00-23:00</c:v>
                      </c:pt>
                      <c:pt idx="5">
                        <c:v>23:00-00:00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'9dec'!$K$20:$K$25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11.875</c:v>
                      </c:pt>
                      <c:pt idx="1">
                        <c:v>11.15</c:v>
                      </c:pt>
                      <c:pt idx="2">
                        <c:v>10.824999999999999</c:v>
                      </c:pt>
                      <c:pt idx="3">
                        <c:v>10.7</c:v>
                      </c:pt>
                      <c:pt idx="4">
                        <c:v>10.733333333333333</c:v>
                      </c:pt>
                      <c:pt idx="5">
                        <c:v>10.933333333333334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757-470A-B599-F7730F98376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T ude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'9dec'!$J$20:$J$25</c15:sqref>
                        </c15:formulaRef>
                      </c:ext>
                    </c:extLst>
                    <c:strCache>
                      <c:ptCount val="6"/>
                      <c:pt idx="0">
                        <c:v>18:00-19:00</c:v>
                      </c:pt>
                      <c:pt idx="1">
                        <c:v>19:00-20:00</c:v>
                      </c:pt>
                      <c:pt idx="2">
                        <c:v>20:00-21:00</c:v>
                      </c:pt>
                      <c:pt idx="3">
                        <c:v>21:00-22:00</c:v>
                      </c:pt>
                      <c:pt idx="4">
                        <c:v>22:00-23:00</c:v>
                      </c:pt>
                      <c:pt idx="5">
                        <c:v>23:00-00:00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'9dec'!$L$20:$L$25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10.4</c:v>
                      </c:pt>
                      <c:pt idx="1">
                        <c:v>10.4</c:v>
                      </c:pt>
                      <c:pt idx="2">
                        <c:v>9.9250000000000007</c:v>
                      </c:pt>
                      <c:pt idx="3">
                        <c:v>9.9</c:v>
                      </c:pt>
                      <c:pt idx="4">
                        <c:v>10.033333333333333</c:v>
                      </c:pt>
                      <c:pt idx="5">
                        <c:v>10.233333333333333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757-470A-B599-F7730F983765}"/>
                  </c:ext>
                </c:extLst>
              </c15:ser>
            </c15:filteredLineSeries>
          </c:ext>
        </c:extLst>
      </c:lineChart>
      <c:catAx>
        <c:axId val="38648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86483136"/>
        <c:crosses val="autoZero"/>
        <c:auto val="1"/>
        <c:lblAlgn val="ctr"/>
        <c:lblOffset val="100"/>
        <c:noMultiLvlLbl val="0"/>
      </c:catAx>
      <c:valAx>
        <c:axId val="386483136"/>
        <c:scaling>
          <c:orientation val="minMax"/>
          <c:max val="1"/>
          <c:min val="0.7500000000000001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Luftfugtighed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8648601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10/12</a:t>
            </a:r>
            <a:r>
              <a:rPr lang="da-DK" baseline="0"/>
              <a:t> Temperatur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 inde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BF8-43D1-A31E-9BAFD9E2352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BF8-43D1-A31E-9BAFD9E2352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BF8-43D1-A31E-9BAFD9E2352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BF8-43D1-A31E-9BAFD9E2352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BF8-43D1-A31E-9BAFD9E2352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BF8-43D1-A31E-9BAFD9E2352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BF8-43D1-A31E-9BAFD9E2352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BF8-43D1-A31E-9BAFD9E2352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BF8-43D1-A31E-9BAFD9E2352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BF8-43D1-A31E-9BAFD9E2352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BF8-43D1-A31E-9BAFD9E2352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BF8-43D1-A31E-9BAFD9E2352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BF8-43D1-A31E-9BAFD9E2352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BF8-43D1-A31E-9BAFD9E2352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BF8-43D1-A31E-9BAFD9E2352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BF8-43D1-A31E-9BAFD9E2352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BF8-43D1-A31E-9BAFD9E2352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BF8-43D1-A31E-9BAFD9E2352B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BF8-43D1-A31E-9BAFD9E2352B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BF8-43D1-A31E-9BAFD9E2352B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BF8-43D1-A31E-9BAFD9E235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'10dec'!$J$2:$J$24</c:f>
              <c:strCache>
                <c:ptCount val="23"/>
                <c:pt idx="0">
                  <c:v>00:01-01:00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  <c:pt idx="9">
                  <c:v>09:00-10:00</c:v>
                </c:pt>
                <c:pt idx="10">
                  <c:v>10:00-11:00</c:v>
                </c:pt>
                <c:pt idx="11">
                  <c:v>11:00-12:00</c:v>
                </c:pt>
                <c:pt idx="12">
                  <c:v>12:00-13:00</c:v>
                </c:pt>
                <c:pt idx="13">
                  <c:v>13:00-14:00</c:v>
                </c:pt>
                <c:pt idx="14">
                  <c:v>14:00-15:00</c:v>
                </c:pt>
                <c:pt idx="15">
                  <c:v>15:00-16:00</c:v>
                </c:pt>
                <c:pt idx="16">
                  <c:v>16:00-17:00</c:v>
                </c:pt>
                <c:pt idx="17">
                  <c:v>17:00-18:00</c:v>
                </c:pt>
                <c:pt idx="18">
                  <c:v>18:00-19:00</c:v>
                </c:pt>
                <c:pt idx="19">
                  <c:v>19:00-20:00</c:v>
                </c:pt>
                <c:pt idx="20">
                  <c:v>20:00-21:00</c:v>
                </c:pt>
                <c:pt idx="21">
                  <c:v>21:00-22:00</c:v>
                </c:pt>
                <c:pt idx="22">
                  <c:v>22:00-23:00</c:v>
                </c:pt>
              </c:strCache>
            </c:strRef>
          </c:cat>
          <c:val>
            <c:numRef>
              <c:f>'10dec'!$K$2:$K$24</c:f>
              <c:numCache>
                <c:formatCode>0.0</c:formatCode>
                <c:ptCount val="23"/>
                <c:pt idx="0">
                  <c:v>11.233333333333333</c:v>
                </c:pt>
                <c:pt idx="1">
                  <c:v>11.3</c:v>
                </c:pt>
                <c:pt idx="2">
                  <c:v>11.275</c:v>
                </c:pt>
                <c:pt idx="3">
                  <c:v>11.3</c:v>
                </c:pt>
                <c:pt idx="4">
                  <c:v>11.366666666666667</c:v>
                </c:pt>
                <c:pt idx="5">
                  <c:v>11.25</c:v>
                </c:pt>
                <c:pt idx="6">
                  <c:v>11.2</c:v>
                </c:pt>
                <c:pt idx="7">
                  <c:v>11.1</c:v>
                </c:pt>
                <c:pt idx="8">
                  <c:v>10.925000000000001</c:v>
                </c:pt>
                <c:pt idx="9">
                  <c:v>10.8</c:v>
                </c:pt>
                <c:pt idx="10">
                  <c:v>10.8</c:v>
                </c:pt>
                <c:pt idx="11">
                  <c:v>11.05</c:v>
                </c:pt>
                <c:pt idx="12">
                  <c:v>11</c:v>
                </c:pt>
                <c:pt idx="13">
                  <c:v>10.733333333333333</c:v>
                </c:pt>
                <c:pt idx="14">
                  <c:v>10.55</c:v>
                </c:pt>
                <c:pt idx="15">
                  <c:v>10.275</c:v>
                </c:pt>
                <c:pt idx="16">
                  <c:v>10.1</c:v>
                </c:pt>
                <c:pt idx="17">
                  <c:v>10.1</c:v>
                </c:pt>
                <c:pt idx="18">
                  <c:v>10.333333333333332</c:v>
                </c:pt>
                <c:pt idx="19">
                  <c:v>10.425000000000001</c:v>
                </c:pt>
                <c:pt idx="20">
                  <c:v>10.5</c:v>
                </c:pt>
                <c:pt idx="21">
                  <c:v>10.45</c:v>
                </c:pt>
                <c:pt idx="22">
                  <c:v>10.35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F8-43D1-A31E-9BAFD9E2352B}"/>
            </c:ext>
          </c:extLst>
        </c:ser>
        <c:ser>
          <c:idx val="0"/>
          <c:order val="1"/>
          <c:tx>
            <c:v>T ude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BF8-43D1-A31E-9BAFD9E2352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BF8-43D1-A31E-9BAFD9E2352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BF8-43D1-A31E-9BAFD9E2352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BF8-43D1-A31E-9BAFD9E2352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BF8-43D1-A31E-9BAFD9E2352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BF8-43D1-A31E-9BAFD9E2352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BF8-43D1-A31E-9BAFD9E2352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BF8-43D1-A31E-9BAFD9E2352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BF8-43D1-A31E-9BAFD9E2352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BF8-43D1-A31E-9BAFD9E2352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BF8-43D1-A31E-9BAFD9E2352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BF8-43D1-A31E-9BAFD9E2352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BF8-43D1-A31E-9BAFD9E2352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BF8-43D1-A31E-9BAFD9E2352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BF8-43D1-A31E-9BAFD9E2352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BF8-43D1-A31E-9BAFD9E2352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BF8-43D1-A31E-9BAFD9E2352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BF8-43D1-A31E-9BAFD9E2352B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BF8-43D1-A31E-9BAFD9E2352B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BF8-43D1-A31E-9BAFD9E2352B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BF8-43D1-A31E-9BAFD9E235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'10dec'!$J$2:$J$24</c:f>
              <c:strCache>
                <c:ptCount val="23"/>
                <c:pt idx="0">
                  <c:v>00:01-01:00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  <c:pt idx="9">
                  <c:v>09:00-10:00</c:v>
                </c:pt>
                <c:pt idx="10">
                  <c:v>10:00-11:00</c:v>
                </c:pt>
                <c:pt idx="11">
                  <c:v>11:00-12:00</c:v>
                </c:pt>
                <c:pt idx="12">
                  <c:v>12:00-13:00</c:v>
                </c:pt>
                <c:pt idx="13">
                  <c:v>13:00-14:00</c:v>
                </c:pt>
                <c:pt idx="14">
                  <c:v>14:00-15:00</c:v>
                </c:pt>
                <c:pt idx="15">
                  <c:v>15:00-16:00</c:v>
                </c:pt>
                <c:pt idx="16">
                  <c:v>16:00-17:00</c:v>
                </c:pt>
                <c:pt idx="17">
                  <c:v>17:00-18:00</c:v>
                </c:pt>
                <c:pt idx="18">
                  <c:v>18:00-19:00</c:v>
                </c:pt>
                <c:pt idx="19">
                  <c:v>19:00-20:00</c:v>
                </c:pt>
                <c:pt idx="20">
                  <c:v>20:00-21:00</c:v>
                </c:pt>
                <c:pt idx="21">
                  <c:v>21:00-22:00</c:v>
                </c:pt>
                <c:pt idx="22">
                  <c:v>22:00-23:00</c:v>
                </c:pt>
              </c:strCache>
            </c:strRef>
          </c:cat>
          <c:val>
            <c:numRef>
              <c:f>'10dec'!$L$2:$L$24</c:f>
              <c:numCache>
                <c:formatCode>0.0</c:formatCode>
                <c:ptCount val="23"/>
                <c:pt idx="0">
                  <c:v>10.5</c:v>
                </c:pt>
                <c:pt idx="1">
                  <c:v>10.5</c:v>
                </c:pt>
                <c:pt idx="2">
                  <c:v>10.55</c:v>
                </c:pt>
                <c:pt idx="3">
                  <c:v>10.6</c:v>
                </c:pt>
                <c:pt idx="4">
                  <c:v>10.533333333333333</c:v>
                </c:pt>
                <c:pt idx="5">
                  <c:v>10.45</c:v>
                </c:pt>
                <c:pt idx="6">
                  <c:v>10.433333333333334</c:v>
                </c:pt>
                <c:pt idx="7">
                  <c:v>10.4</c:v>
                </c:pt>
                <c:pt idx="8">
                  <c:v>10.275</c:v>
                </c:pt>
                <c:pt idx="9">
                  <c:v>10.233333333333333</c:v>
                </c:pt>
                <c:pt idx="10">
                  <c:v>10.266666666666667</c:v>
                </c:pt>
                <c:pt idx="11">
                  <c:v>10.466666666666667</c:v>
                </c:pt>
                <c:pt idx="12">
                  <c:v>10.4</c:v>
                </c:pt>
                <c:pt idx="13">
                  <c:v>10.133333333333333</c:v>
                </c:pt>
                <c:pt idx="14">
                  <c:v>9.9250000000000007</c:v>
                </c:pt>
                <c:pt idx="15">
                  <c:v>9.6750000000000007</c:v>
                </c:pt>
                <c:pt idx="16">
                  <c:v>9.6</c:v>
                </c:pt>
                <c:pt idx="17">
                  <c:v>9.65</c:v>
                </c:pt>
                <c:pt idx="18">
                  <c:v>10</c:v>
                </c:pt>
                <c:pt idx="19">
                  <c:v>10.050000000000001</c:v>
                </c:pt>
                <c:pt idx="20">
                  <c:v>10.16</c:v>
                </c:pt>
                <c:pt idx="21">
                  <c:v>10</c:v>
                </c:pt>
                <c:pt idx="22">
                  <c:v>9.8249999999999993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F8-43D1-A31E-9BAFD9E2352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72270336"/>
        <c:axId val="4722674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Hum Inde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'10dec'!$J$2:$J$24</c15:sqref>
                        </c15:formulaRef>
                      </c:ext>
                    </c:extLst>
                    <c:strCache>
                      <c:ptCount val="23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'10dec'!$M$2:$M$24</c15:sqref>
                        </c15:formulaRef>
                      </c:ext>
                    </c:extLst>
                    <c:numCache>
                      <c:formatCode>0.00%</c:formatCode>
                      <c:ptCount val="23"/>
                      <c:pt idx="0">
                        <c:v>0.84066666666666667</c:v>
                      </c:pt>
                      <c:pt idx="1">
                        <c:v>0.84299999999999997</c:v>
                      </c:pt>
                      <c:pt idx="2">
                        <c:v>0.85049999999999992</c:v>
                      </c:pt>
                      <c:pt idx="3">
                        <c:v>0.85600000000000009</c:v>
                      </c:pt>
                      <c:pt idx="4">
                        <c:v>0.87066666666666648</c:v>
                      </c:pt>
                      <c:pt idx="5">
                        <c:v>0.88249999999999995</c:v>
                      </c:pt>
                      <c:pt idx="6">
                        <c:v>0.90800000000000003</c:v>
                      </c:pt>
                      <c:pt idx="7">
                        <c:v>0.94000000000000006</c:v>
                      </c:pt>
                      <c:pt idx="8">
                        <c:v>0.96125000000000005</c:v>
                      </c:pt>
                      <c:pt idx="9">
                        <c:v>0.98000000000000009</c:v>
                      </c:pt>
                      <c:pt idx="10">
                        <c:v>0.98899999999999988</c:v>
                      </c:pt>
                      <c:pt idx="11">
                        <c:v>0.93533333333333335</c:v>
                      </c:pt>
                      <c:pt idx="12">
                        <c:v>0.874</c:v>
                      </c:pt>
                      <c:pt idx="13">
                        <c:v>0.85799999999999998</c:v>
                      </c:pt>
                      <c:pt idx="14">
                        <c:v>0.85624999999999996</c:v>
                      </c:pt>
                      <c:pt idx="15">
                        <c:v>0.85450000000000004</c:v>
                      </c:pt>
                      <c:pt idx="16">
                        <c:v>0.85866666666666658</c:v>
                      </c:pt>
                      <c:pt idx="17">
                        <c:v>0.86250000000000004</c:v>
                      </c:pt>
                      <c:pt idx="18">
                        <c:v>0.87466666666666681</c:v>
                      </c:pt>
                      <c:pt idx="19">
                        <c:v>0.87799999999999989</c:v>
                      </c:pt>
                      <c:pt idx="20">
                        <c:v>0.88460000000000005</c:v>
                      </c:pt>
                      <c:pt idx="21">
                        <c:v>0.88700000000000012</c:v>
                      </c:pt>
                      <c:pt idx="22">
                        <c:v>0.92274999999999996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EBF8-43D1-A31E-9BAFD9E2352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Hum Ude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'10dec'!$J$2:$J$24</c15:sqref>
                        </c15:formulaRef>
                      </c:ext>
                    </c:extLst>
                    <c:strCache>
                      <c:ptCount val="23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'10dec'!$N$2:$N$24</c15:sqref>
                        </c15:formulaRef>
                      </c:ext>
                    </c:extLst>
                    <c:numCache>
                      <c:formatCode>0.00%</c:formatCode>
                      <c:ptCount val="23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0.99533333333333329</c:v>
                      </c:pt>
                      <c:pt idx="19">
                        <c:v>0.99349999999999983</c:v>
                      </c:pt>
                      <c:pt idx="20">
                        <c:v>0.99120000000000008</c:v>
                      </c:pt>
                      <c:pt idx="21">
                        <c:v>0.98650000000000004</c:v>
                      </c:pt>
                      <c:pt idx="22">
                        <c:v>0.98799999999999988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BF8-43D1-A31E-9BAFD9E2352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Lysindex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'10dec'!$J$2:$J$24</c15:sqref>
                        </c15:formulaRef>
                      </c:ext>
                    </c:extLst>
                    <c:strCache>
                      <c:ptCount val="23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'10dec'!$O$2:$O$24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27.25</c:v>
                      </c:pt>
                      <c:pt idx="9">
                        <c:v>109</c:v>
                      </c:pt>
                      <c:pt idx="10">
                        <c:v>99.333333333333329</c:v>
                      </c:pt>
                      <c:pt idx="11">
                        <c:v>198.16666666666666</c:v>
                      </c:pt>
                      <c:pt idx="12">
                        <c:v>208</c:v>
                      </c:pt>
                      <c:pt idx="13">
                        <c:v>164.33333333333334</c:v>
                      </c:pt>
                      <c:pt idx="14">
                        <c:v>128.25</c:v>
                      </c:pt>
                      <c:pt idx="15">
                        <c:v>33.5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23.25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EBF8-43D1-A31E-9BAFD9E2352B}"/>
                  </c:ext>
                </c:extLst>
              </c15:ser>
            </c15:filteredLineSeries>
          </c:ext>
        </c:extLst>
      </c:lineChart>
      <c:catAx>
        <c:axId val="472270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72267456"/>
        <c:crosses val="autoZero"/>
        <c:auto val="1"/>
        <c:lblAlgn val="ctr"/>
        <c:lblOffset val="100"/>
        <c:noMultiLvlLbl val="0"/>
      </c:catAx>
      <c:valAx>
        <c:axId val="472267456"/>
        <c:scaling>
          <c:orientation val="minMax"/>
          <c:max val="12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Temperatur,</a:t>
                </a:r>
                <a:r>
                  <a:rPr lang="da-DK" baseline="0"/>
                  <a:t> C◦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7227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10/12 Luftfugtighed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v>Hum Inde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2222222222222223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0EFC-41AE-93F5-7C02AA29A21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0EFC-41AE-93F5-7C02AA29A21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0EFC-41AE-93F5-7C02AA29A21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0EFC-41AE-93F5-7C02AA29A21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0EFC-41AE-93F5-7C02AA29A21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0EFC-41AE-93F5-7C02AA29A21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0EFC-41AE-93F5-7C02AA29A21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EFC-41AE-93F5-7C02AA29A21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EFC-41AE-93F5-7C02AA29A21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FC-41AE-93F5-7C02AA29A21A}"/>
                </c:ext>
              </c:extLst>
            </c:dLbl>
            <c:dLbl>
              <c:idx val="10"/>
              <c:layout>
                <c:manualLayout>
                  <c:x val="-6.1111111111111165E-2"/>
                  <c:y val="5.09259259259258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EFC-41AE-93F5-7C02AA29A21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EFC-41AE-93F5-7C02AA29A21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EFC-41AE-93F5-7C02AA29A21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0EFC-41AE-93F5-7C02AA29A21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EFC-41AE-93F5-7C02AA29A21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EFC-41AE-93F5-7C02AA29A21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EFC-41AE-93F5-7C02AA29A21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EFC-41AE-93F5-7C02AA29A21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EFC-41AE-93F5-7C02AA29A21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EFC-41AE-93F5-7C02AA29A21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EFC-41AE-93F5-7C02AA29A21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EFC-41AE-93F5-7C02AA29A21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EFC-41AE-93F5-7C02AA29A2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'10dec'!$J$2:$J$24</c:f>
              <c:strCache>
                <c:ptCount val="23"/>
                <c:pt idx="0">
                  <c:v>00:01-01:00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  <c:pt idx="9">
                  <c:v>09:00-10:00</c:v>
                </c:pt>
                <c:pt idx="10">
                  <c:v>10:00-11:00</c:v>
                </c:pt>
                <c:pt idx="11">
                  <c:v>11:00-12:00</c:v>
                </c:pt>
                <c:pt idx="12">
                  <c:v>12:00-13:00</c:v>
                </c:pt>
                <c:pt idx="13">
                  <c:v>13:00-14:00</c:v>
                </c:pt>
                <c:pt idx="14">
                  <c:v>14:00-15:00</c:v>
                </c:pt>
                <c:pt idx="15">
                  <c:v>15:00-16:00</c:v>
                </c:pt>
                <c:pt idx="16">
                  <c:v>16:00-17:00</c:v>
                </c:pt>
                <c:pt idx="17">
                  <c:v>17:00-18:00</c:v>
                </c:pt>
                <c:pt idx="18">
                  <c:v>18:00-19:00</c:v>
                </c:pt>
                <c:pt idx="19">
                  <c:v>19:00-20:00</c:v>
                </c:pt>
                <c:pt idx="20">
                  <c:v>20:00-21:00</c:v>
                </c:pt>
                <c:pt idx="21">
                  <c:v>21:00-22:00</c:v>
                </c:pt>
                <c:pt idx="22">
                  <c:v>22:00-23:00</c:v>
                </c:pt>
              </c:strCache>
            </c:strRef>
          </c:cat>
          <c:val>
            <c:numRef>
              <c:f>'10dec'!$M$2:$M$24</c:f>
              <c:numCache>
                <c:formatCode>0.00%</c:formatCode>
                <c:ptCount val="23"/>
                <c:pt idx="0">
                  <c:v>0.84066666666666667</c:v>
                </c:pt>
                <c:pt idx="1">
                  <c:v>0.84299999999999997</c:v>
                </c:pt>
                <c:pt idx="2">
                  <c:v>0.85049999999999992</c:v>
                </c:pt>
                <c:pt idx="3">
                  <c:v>0.85600000000000009</c:v>
                </c:pt>
                <c:pt idx="4">
                  <c:v>0.87066666666666648</c:v>
                </c:pt>
                <c:pt idx="5">
                  <c:v>0.88249999999999995</c:v>
                </c:pt>
                <c:pt idx="6">
                  <c:v>0.90800000000000003</c:v>
                </c:pt>
                <c:pt idx="7">
                  <c:v>0.94000000000000006</c:v>
                </c:pt>
                <c:pt idx="8">
                  <c:v>0.96125000000000005</c:v>
                </c:pt>
                <c:pt idx="9">
                  <c:v>0.98000000000000009</c:v>
                </c:pt>
                <c:pt idx="10">
                  <c:v>0.98899999999999988</c:v>
                </c:pt>
                <c:pt idx="11">
                  <c:v>0.93533333333333335</c:v>
                </c:pt>
                <c:pt idx="12">
                  <c:v>0.874</c:v>
                </c:pt>
                <c:pt idx="13">
                  <c:v>0.85799999999999998</c:v>
                </c:pt>
                <c:pt idx="14">
                  <c:v>0.85624999999999996</c:v>
                </c:pt>
                <c:pt idx="15">
                  <c:v>0.85450000000000004</c:v>
                </c:pt>
                <c:pt idx="16">
                  <c:v>0.85866666666666658</c:v>
                </c:pt>
                <c:pt idx="17">
                  <c:v>0.86250000000000004</c:v>
                </c:pt>
                <c:pt idx="18">
                  <c:v>0.87466666666666681</c:v>
                </c:pt>
                <c:pt idx="19">
                  <c:v>0.87799999999999989</c:v>
                </c:pt>
                <c:pt idx="20">
                  <c:v>0.88460000000000005</c:v>
                </c:pt>
                <c:pt idx="21">
                  <c:v>0.88700000000000012</c:v>
                </c:pt>
                <c:pt idx="22">
                  <c:v>0.92274999999999996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FC-41AE-93F5-7C02AA29A21A}"/>
            </c:ext>
          </c:extLst>
        </c:ser>
        <c:ser>
          <c:idx val="3"/>
          <c:order val="3"/>
          <c:tx>
            <c:v>Hum Ude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EFC-41AE-93F5-7C02AA29A21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EFC-41AE-93F5-7C02AA29A21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EFC-41AE-93F5-7C02AA29A21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EFC-41AE-93F5-7C02AA29A21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EFC-41AE-93F5-7C02AA29A21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EFC-41AE-93F5-7C02AA29A21A}"/>
                </c:ext>
              </c:extLst>
            </c:dLbl>
            <c:dLbl>
              <c:idx val="6"/>
              <c:layout>
                <c:manualLayout>
                  <c:x val="-2.7777777777778286E-3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EFC-41AE-93F5-7C02AA29A21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EFC-41AE-93F5-7C02AA29A21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EFC-41AE-93F5-7C02AA29A21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EFC-41AE-93F5-7C02AA29A21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EFC-41AE-93F5-7C02AA29A21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FC-41AE-93F5-7C02AA29A21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EFC-41AE-93F5-7C02AA29A21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EFC-41AE-93F5-7C02AA29A21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FC-41AE-93F5-7C02AA29A21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EFC-41AE-93F5-7C02AA29A21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EFC-41AE-93F5-7C02AA29A21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FC-41AE-93F5-7C02AA29A21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EFC-41AE-93F5-7C02AA29A21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EFC-41AE-93F5-7C02AA29A21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EFC-41AE-93F5-7C02AA29A21A}"/>
                </c:ext>
              </c:extLst>
            </c:dLbl>
            <c:dLbl>
              <c:idx val="21"/>
              <c:layout>
                <c:manualLayout>
                  <c:x val="-2.7777777777777779E-3"/>
                  <c:y val="-3.7037037037037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EFC-41AE-93F5-7C02AA29A21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EFC-41AE-93F5-7C02AA29A2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'10dec'!$J$2:$J$24</c:f>
              <c:strCache>
                <c:ptCount val="23"/>
                <c:pt idx="0">
                  <c:v>00:01-01:00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  <c:pt idx="9">
                  <c:v>09:00-10:00</c:v>
                </c:pt>
                <c:pt idx="10">
                  <c:v>10:00-11:00</c:v>
                </c:pt>
                <c:pt idx="11">
                  <c:v>11:00-12:00</c:v>
                </c:pt>
                <c:pt idx="12">
                  <c:v>12:00-13:00</c:v>
                </c:pt>
                <c:pt idx="13">
                  <c:v>13:00-14:00</c:v>
                </c:pt>
                <c:pt idx="14">
                  <c:v>14:00-15:00</c:v>
                </c:pt>
                <c:pt idx="15">
                  <c:v>15:00-16:00</c:v>
                </c:pt>
                <c:pt idx="16">
                  <c:v>16:00-17:00</c:v>
                </c:pt>
                <c:pt idx="17">
                  <c:v>17:00-18:00</c:v>
                </c:pt>
                <c:pt idx="18">
                  <c:v>18:00-19:00</c:v>
                </c:pt>
                <c:pt idx="19">
                  <c:v>19:00-20:00</c:v>
                </c:pt>
                <c:pt idx="20">
                  <c:v>20:00-21:00</c:v>
                </c:pt>
                <c:pt idx="21">
                  <c:v>21:00-22:00</c:v>
                </c:pt>
                <c:pt idx="22">
                  <c:v>22:00-23:00</c:v>
                </c:pt>
              </c:strCache>
            </c:strRef>
          </c:cat>
          <c:val>
            <c:numRef>
              <c:f>'10dec'!$N$2:$N$24</c:f>
              <c:numCache>
                <c:formatCode>0.00%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0.99533333333333329</c:v>
                </c:pt>
                <c:pt idx="19">
                  <c:v>0.99349999999999983</c:v>
                </c:pt>
                <c:pt idx="20">
                  <c:v>0.99120000000000008</c:v>
                </c:pt>
                <c:pt idx="21">
                  <c:v>0.98650000000000004</c:v>
                </c:pt>
                <c:pt idx="22">
                  <c:v>0.98799999999999988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FC-41AE-93F5-7C02AA29A2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72270336"/>
        <c:axId val="4722674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T ude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'10dec'!$J$2:$J$24</c15:sqref>
                        </c15:formulaRef>
                      </c:ext>
                    </c:extLst>
                    <c:strCache>
                      <c:ptCount val="23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'10dec'!$L$2:$L$24</c15:sqref>
                        </c15:formulaRef>
                      </c:ext>
                    </c:extLst>
                    <c:numCache>
                      <c:formatCode>0.0</c:formatCode>
                      <c:ptCount val="23"/>
                      <c:pt idx="0">
                        <c:v>10.5</c:v>
                      </c:pt>
                      <c:pt idx="1">
                        <c:v>10.5</c:v>
                      </c:pt>
                      <c:pt idx="2">
                        <c:v>10.55</c:v>
                      </c:pt>
                      <c:pt idx="3">
                        <c:v>10.6</c:v>
                      </c:pt>
                      <c:pt idx="4">
                        <c:v>10.533333333333333</c:v>
                      </c:pt>
                      <c:pt idx="5">
                        <c:v>10.45</c:v>
                      </c:pt>
                      <c:pt idx="6">
                        <c:v>10.433333333333334</c:v>
                      </c:pt>
                      <c:pt idx="7">
                        <c:v>10.4</c:v>
                      </c:pt>
                      <c:pt idx="8">
                        <c:v>10.275</c:v>
                      </c:pt>
                      <c:pt idx="9">
                        <c:v>10.233333333333333</c:v>
                      </c:pt>
                      <c:pt idx="10">
                        <c:v>10.266666666666667</c:v>
                      </c:pt>
                      <c:pt idx="11">
                        <c:v>10.466666666666667</c:v>
                      </c:pt>
                      <c:pt idx="12">
                        <c:v>10.4</c:v>
                      </c:pt>
                      <c:pt idx="13">
                        <c:v>10.133333333333333</c:v>
                      </c:pt>
                      <c:pt idx="14">
                        <c:v>9.9250000000000007</c:v>
                      </c:pt>
                      <c:pt idx="15">
                        <c:v>9.6750000000000007</c:v>
                      </c:pt>
                      <c:pt idx="16">
                        <c:v>9.6</c:v>
                      </c:pt>
                      <c:pt idx="17">
                        <c:v>9.65</c:v>
                      </c:pt>
                      <c:pt idx="18">
                        <c:v>10</c:v>
                      </c:pt>
                      <c:pt idx="19">
                        <c:v>10.050000000000001</c:v>
                      </c:pt>
                      <c:pt idx="20">
                        <c:v>10.16</c:v>
                      </c:pt>
                      <c:pt idx="21">
                        <c:v>10</c:v>
                      </c:pt>
                      <c:pt idx="22">
                        <c:v>9.8249999999999993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EFC-41AE-93F5-7C02AA29A21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T inde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'10dec'!$J$2:$J$24</c15:sqref>
                        </c15:formulaRef>
                      </c:ext>
                    </c:extLst>
                    <c:strCache>
                      <c:ptCount val="23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'10dec'!$K$2:$K$24</c15:sqref>
                        </c15:formulaRef>
                      </c:ext>
                    </c:extLst>
                    <c:numCache>
                      <c:formatCode>0.0</c:formatCode>
                      <c:ptCount val="23"/>
                      <c:pt idx="0">
                        <c:v>11.233333333333333</c:v>
                      </c:pt>
                      <c:pt idx="1">
                        <c:v>11.3</c:v>
                      </c:pt>
                      <c:pt idx="2">
                        <c:v>11.275</c:v>
                      </c:pt>
                      <c:pt idx="3">
                        <c:v>11.3</c:v>
                      </c:pt>
                      <c:pt idx="4">
                        <c:v>11.366666666666667</c:v>
                      </c:pt>
                      <c:pt idx="5">
                        <c:v>11.25</c:v>
                      </c:pt>
                      <c:pt idx="6">
                        <c:v>11.2</c:v>
                      </c:pt>
                      <c:pt idx="7">
                        <c:v>11.1</c:v>
                      </c:pt>
                      <c:pt idx="8">
                        <c:v>10.925000000000001</c:v>
                      </c:pt>
                      <c:pt idx="9">
                        <c:v>10.8</c:v>
                      </c:pt>
                      <c:pt idx="10">
                        <c:v>10.8</c:v>
                      </c:pt>
                      <c:pt idx="11">
                        <c:v>11.05</c:v>
                      </c:pt>
                      <c:pt idx="12">
                        <c:v>11</c:v>
                      </c:pt>
                      <c:pt idx="13">
                        <c:v>10.733333333333333</c:v>
                      </c:pt>
                      <c:pt idx="14">
                        <c:v>10.55</c:v>
                      </c:pt>
                      <c:pt idx="15">
                        <c:v>10.275</c:v>
                      </c:pt>
                      <c:pt idx="16">
                        <c:v>10.1</c:v>
                      </c:pt>
                      <c:pt idx="17">
                        <c:v>10.1</c:v>
                      </c:pt>
                      <c:pt idx="18">
                        <c:v>10.333333333333332</c:v>
                      </c:pt>
                      <c:pt idx="19">
                        <c:v>10.425000000000001</c:v>
                      </c:pt>
                      <c:pt idx="20">
                        <c:v>10.5</c:v>
                      </c:pt>
                      <c:pt idx="21">
                        <c:v>10.45</c:v>
                      </c:pt>
                      <c:pt idx="22">
                        <c:v>10.35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EFC-41AE-93F5-7C02AA29A21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Lysindex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'10dec'!$J$2:$J$24</c15:sqref>
                        </c15:formulaRef>
                      </c:ext>
                    </c:extLst>
                    <c:strCache>
                      <c:ptCount val="23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'10dec'!$O$2:$O$24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27.25</c:v>
                      </c:pt>
                      <c:pt idx="9">
                        <c:v>109</c:v>
                      </c:pt>
                      <c:pt idx="10">
                        <c:v>99.333333333333329</c:v>
                      </c:pt>
                      <c:pt idx="11">
                        <c:v>198.16666666666666</c:v>
                      </c:pt>
                      <c:pt idx="12">
                        <c:v>208</c:v>
                      </c:pt>
                      <c:pt idx="13">
                        <c:v>164.33333333333334</c:v>
                      </c:pt>
                      <c:pt idx="14">
                        <c:v>128.25</c:v>
                      </c:pt>
                      <c:pt idx="15">
                        <c:v>33.5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23.25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EFC-41AE-93F5-7C02AA29A21A}"/>
                  </c:ext>
                </c:extLst>
              </c15:ser>
            </c15:filteredLineSeries>
          </c:ext>
        </c:extLst>
      </c:lineChart>
      <c:catAx>
        <c:axId val="472270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72267456"/>
        <c:crosses val="autoZero"/>
        <c:auto val="1"/>
        <c:lblAlgn val="ctr"/>
        <c:lblOffset val="100"/>
        <c:noMultiLvlLbl val="0"/>
      </c:catAx>
      <c:valAx>
        <c:axId val="47226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Relativ</a:t>
                </a:r>
                <a:r>
                  <a:rPr lang="da-DK" baseline="0"/>
                  <a:t> luftfugtighed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7227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10/12</a:t>
            </a:r>
            <a:r>
              <a:rPr lang="da-DK" baseline="0"/>
              <a:t> Lys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v>Lysindex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3FCD-41C3-BA80-F18C00F5178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3FCD-41C3-BA80-F18C00F5178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3FCD-41C3-BA80-F18C00F5178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3FCD-41C3-BA80-F18C00F5178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3FCD-41C3-BA80-F18C00F5178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3FCD-41C3-BA80-F18C00F5178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3FCD-41C3-BA80-F18C00F5178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3FCD-41C3-BA80-F18C00F5178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3FCD-41C3-BA80-F18C00F5178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3FCD-41C3-BA80-F18C00F5178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3FCD-41C3-BA80-F18C00F5178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3FCD-41C3-BA80-F18C00F51782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3FCD-41C3-BA80-F18C00F5178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3FCD-41C3-BA80-F18C00F51782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3FCD-41C3-BA80-F18C00F5178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3FCD-41C3-BA80-F18C00F5178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3FCD-41C3-BA80-F18C00F51782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3FCD-41C3-BA80-F18C00F51782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3FCD-41C3-BA80-F18C00F51782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3FCD-41C3-BA80-F18C00F517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'10dec'!$J$2:$J$24</c:f>
              <c:strCache>
                <c:ptCount val="23"/>
                <c:pt idx="0">
                  <c:v>00:01-01:00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  <c:pt idx="9">
                  <c:v>09:00-10:00</c:v>
                </c:pt>
                <c:pt idx="10">
                  <c:v>10:00-11:00</c:v>
                </c:pt>
                <c:pt idx="11">
                  <c:v>11:00-12:00</c:v>
                </c:pt>
                <c:pt idx="12">
                  <c:v>12:00-13:00</c:v>
                </c:pt>
                <c:pt idx="13">
                  <c:v>13:00-14:00</c:v>
                </c:pt>
                <c:pt idx="14">
                  <c:v>14:00-15:00</c:v>
                </c:pt>
                <c:pt idx="15">
                  <c:v>15:00-16:00</c:v>
                </c:pt>
                <c:pt idx="16">
                  <c:v>16:00-17:00</c:v>
                </c:pt>
                <c:pt idx="17">
                  <c:v>17:00-18:00</c:v>
                </c:pt>
                <c:pt idx="18">
                  <c:v>18:00-19:00</c:v>
                </c:pt>
                <c:pt idx="19">
                  <c:v>19:00-20:00</c:v>
                </c:pt>
                <c:pt idx="20">
                  <c:v>20:00-21:00</c:v>
                </c:pt>
                <c:pt idx="21">
                  <c:v>21:00-22:00</c:v>
                </c:pt>
                <c:pt idx="22">
                  <c:v>22:00-23:00</c:v>
                </c:pt>
              </c:strCache>
              <c:extLst xmlns:c15="http://schemas.microsoft.com/office/drawing/2012/chart"/>
            </c:strRef>
          </c:cat>
          <c:val>
            <c:numRef>
              <c:f>'10dec'!$O$2:$O$24</c:f>
              <c:numCache>
                <c:formatCode>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27.25</c:v>
                </c:pt>
                <c:pt idx="9">
                  <c:v>109</c:v>
                </c:pt>
                <c:pt idx="10">
                  <c:v>99.333333333333329</c:v>
                </c:pt>
                <c:pt idx="11">
                  <c:v>198.16666666666666</c:v>
                </c:pt>
                <c:pt idx="12">
                  <c:v>208</c:v>
                </c:pt>
                <c:pt idx="13">
                  <c:v>164.33333333333334</c:v>
                </c:pt>
                <c:pt idx="14">
                  <c:v>128.25</c:v>
                </c:pt>
                <c:pt idx="15">
                  <c:v>33.5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23.25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2E-3FCD-41C3-BA80-F18C00F5178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72270336"/>
        <c:axId val="4722674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T ude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3FCD-41C3-BA80-F18C00F51782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3FCD-41C3-BA80-F18C00F51782}"/>
                      </c:ext>
                    </c:extLst>
                  </c:dLbl>
                  <c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3FCD-41C3-BA80-F18C00F51782}"/>
                      </c:ext>
                    </c:extLst>
                  </c:dLbl>
                  <c:dLbl>
                    <c:idx val="4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3FCD-41C3-BA80-F18C00F51782}"/>
                      </c:ext>
                    </c:extLst>
                  </c:dLbl>
                  <c:dLbl>
                    <c:idx val="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3FCD-41C3-BA80-F18C00F51782}"/>
                      </c:ext>
                    </c:extLst>
                  </c:dLbl>
                  <c:dLbl>
                    <c:idx val="6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3FCD-41C3-BA80-F18C00F51782}"/>
                      </c:ext>
                    </c:extLst>
                  </c:dLbl>
                  <c:dLbl>
                    <c:idx val="7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3FCD-41C3-BA80-F18C00F51782}"/>
                      </c:ext>
                    </c:extLst>
                  </c:dLbl>
                  <c:dLbl>
                    <c:idx val="8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3FCD-41C3-BA80-F18C00F51782}"/>
                      </c:ext>
                    </c:extLst>
                  </c:dLbl>
                  <c:dLbl>
                    <c:idx val="9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3FCD-41C3-BA80-F18C00F51782}"/>
                      </c:ext>
                    </c:extLst>
                  </c:dLbl>
                  <c:dLbl>
                    <c:idx val="1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3FCD-41C3-BA80-F18C00F51782}"/>
                      </c:ext>
                    </c:extLst>
                  </c:dLbl>
                  <c:dLbl>
                    <c:idx val="1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3FCD-41C3-BA80-F18C00F51782}"/>
                      </c:ext>
                    </c:extLst>
                  </c:dLbl>
                  <c:dLbl>
                    <c:idx val="1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3FCD-41C3-BA80-F18C00F51782}"/>
                      </c:ext>
                    </c:extLst>
                  </c:dLbl>
                  <c:dLbl>
                    <c:idx val="1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C-3FCD-41C3-BA80-F18C00F51782}"/>
                      </c:ext>
                    </c:extLst>
                  </c:dLbl>
                  <c:dLbl>
                    <c:idx val="14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D-3FCD-41C3-BA80-F18C00F51782}"/>
                      </c:ext>
                    </c:extLst>
                  </c:dLbl>
                  <c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E-3FCD-41C3-BA80-F18C00F51782}"/>
                      </c:ext>
                    </c:extLst>
                  </c:dLbl>
                  <c:dLbl>
                    <c:idx val="17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3FCD-41C3-BA80-F18C00F51782}"/>
                      </c:ext>
                    </c:extLst>
                  </c:dLbl>
                  <c:dLbl>
                    <c:idx val="18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0-3FCD-41C3-BA80-F18C00F51782}"/>
                      </c:ext>
                    </c:extLst>
                  </c:dLbl>
                  <c:dLbl>
                    <c:idx val="19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3FCD-41C3-BA80-F18C00F51782}"/>
                      </c:ext>
                    </c:extLst>
                  </c:dLbl>
                  <c:dLbl>
                    <c:idx val="2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2-3FCD-41C3-BA80-F18C00F51782}"/>
                      </c:ext>
                    </c:extLst>
                  </c:dLbl>
                  <c:dLbl>
                    <c:idx val="2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3-3FCD-41C3-BA80-F18C00F51782}"/>
                      </c:ext>
                    </c:extLst>
                  </c:dLbl>
                  <c:dLbl>
                    <c:idx val="2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4-3FCD-41C3-BA80-F18C00F5178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'10dec'!$J$2:$J$24</c15:sqref>
                        </c15:formulaRef>
                      </c:ext>
                    </c:extLst>
                    <c:strCache>
                      <c:ptCount val="23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'10dec'!$L$2:$L$24</c15:sqref>
                        </c15:formulaRef>
                      </c:ext>
                    </c:extLst>
                    <c:numCache>
                      <c:formatCode>0.0</c:formatCode>
                      <c:ptCount val="23"/>
                      <c:pt idx="0">
                        <c:v>10.5</c:v>
                      </c:pt>
                      <c:pt idx="1">
                        <c:v>10.5</c:v>
                      </c:pt>
                      <c:pt idx="2">
                        <c:v>10.55</c:v>
                      </c:pt>
                      <c:pt idx="3">
                        <c:v>10.6</c:v>
                      </c:pt>
                      <c:pt idx="4">
                        <c:v>10.533333333333333</c:v>
                      </c:pt>
                      <c:pt idx="5">
                        <c:v>10.45</c:v>
                      </c:pt>
                      <c:pt idx="6">
                        <c:v>10.433333333333334</c:v>
                      </c:pt>
                      <c:pt idx="7">
                        <c:v>10.4</c:v>
                      </c:pt>
                      <c:pt idx="8">
                        <c:v>10.275</c:v>
                      </c:pt>
                      <c:pt idx="9">
                        <c:v>10.233333333333333</c:v>
                      </c:pt>
                      <c:pt idx="10">
                        <c:v>10.266666666666667</c:v>
                      </c:pt>
                      <c:pt idx="11">
                        <c:v>10.466666666666667</c:v>
                      </c:pt>
                      <c:pt idx="12">
                        <c:v>10.4</c:v>
                      </c:pt>
                      <c:pt idx="13">
                        <c:v>10.133333333333333</c:v>
                      </c:pt>
                      <c:pt idx="14">
                        <c:v>9.9250000000000007</c:v>
                      </c:pt>
                      <c:pt idx="15">
                        <c:v>9.6750000000000007</c:v>
                      </c:pt>
                      <c:pt idx="16">
                        <c:v>9.6</c:v>
                      </c:pt>
                      <c:pt idx="17">
                        <c:v>9.65</c:v>
                      </c:pt>
                      <c:pt idx="18">
                        <c:v>10</c:v>
                      </c:pt>
                      <c:pt idx="19">
                        <c:v>10.050000000000001</c:v>
                      </c:pt>
                      <c:pt idx="20">
                        <c:v>10.16</c:v>
                      </c:pt>
                      <c:pt idx="21">
                        <c:v>10</c:v>
                      </c:pt>
                      <c:pt idx="22">
                        <c:v>9.8249999999999993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5-3FCD-41C3-BA80-F18C00F5178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T inde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3FCD-41C3-BA80-F18C00F51782}"/>
                      </c:ext>
                    </c:extLst>
                  </c:dLbl>
                  <c:dLbl>
                    <c:idx val="1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3FCD-41C3-BA80-F18C00F51782}"/>
                      </c:ext>
                    </c:extLst>
                  </c:dLbl>
                  <c:dLbl>
                    <c:idx val="2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3FCD-41C3-BA80-F18C00F51782}"/>
                      </c:ext>
                    </c:extLst>
                  </c:dLbl>
                  <c:dLbl>
                    <c:idx val="3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3FCD-41C3-BA80-F18C00F51782}"/>
                      </c:ext>
                    </c:extLst>
                  </c:dLbl>
                  <c:dLbl>
                    <c:idx val="5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3FCD-41C3-BA80-F18C00F51782}"/>
                      </c:ext>
                    </c:extLst>
                  </c:dLbl>
                  <c:dLbl>
                    <c:idx val="6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B-3FCD-41C3-BA80-F18C00F51782}"/>
                      </c:ext>
                    </c:extLst>
                  </c:dLbl>
                  <c:dLbl>
                    <c:idx val="7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C-3FCD-41C3-BA80-F18C00F51782}"/>
                      </c:ext>
                    </c:extLst>
                  </c:dLbl>
                  <c:dLbl>
                    <c:idx val="8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D-3FCD-41C3-BA80-F18C00F51782}"/>
                      </c:ext>
                    </c:extLst>
                  </c:dLbl>
                  <c:dLbl>
                    <c:idx val="9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E-3FCD-41C3-BA80-F18C00F51782}"/>
                      </c:ext>
                    </c:extLst>
                  </c:dLbl>
                  <c:dLbl>
                    <c:idx val="10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F-3FCD-41C3-BA80-F18C00F51782}"/>
                      </c:ext>
                    </c:extLst>
                  </c:dLbl>
                  <c:dLbl>
                    <c:idx val="11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0-3FCD-41C3-BA80-F18C00F51782}"/>
                      </c:ext>
                    </c:extLst>
                  </c:dLbl>
                  <c:dLbl>
                    <c:idx val="12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1-3FCD-41C3-BA80-F18C00F51782}"/>
                      </c:ext>
                    </c:extLst>
                  </c:dLbl>
                  <c:dLbl>
                    <c:idx val="13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2-3FCD-41C3-BA80-F18C00F51782}"/>
                      </c:ext>
                    </c:extLst>
                  </c:dLbl>
                  <c:dLbl>
                    <c:idx val="14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3-3FCD-41C3-BA80-F18C00F51782}"/>
                      </c:ext>
                    </c:extLst>
                  </c:dLbl>
                  <c:dLbl>
                    <c:idx val="15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4-3FCD-41C3-BA80-F18C00F51782}"/>
                      </c:ext>
                    </c:extLst>
                  </c:dLbl>
                  <c:dLbl>
                    <c:idx val="17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5-3FCD-41C3-BA80-F18C00F51782}"/>
                      </c:ext>
                    </c:extLst>
                  </c:dLbl>
                  <c:dLbl>
                    <c:idx val="18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6-3FCD-41C3-BA80-F18C00F51782}"/>
                      </c:ext>
                    </c:extLst>
                  </c:dLbl>
                  <c:dLbl>
                    <c:idx val="19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7-3FCD-41C3-BA80-F18C00F51782}"/>
                      </c:ext>
                    </c:extLst>
                  </c:dLbl>
                  <c:dLbl>
                    <c:idx val="20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8-3FCD-41C3-BA80-F18C00F51782}"/>
                      </c:ext>
                    </c:extLst>
                  </c:dLbl>
                  <c:dLbl>
                    <c:idx val="21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9-3FCD-41C3-BA80-F18C00F51782}"/>
                      </c:ext>
                    </c:extLst>
                  </c:dLbl>
                  <c:dLbl>
                    <c:idx val="22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A-3FCD-41C3-BA80-F18C00F5178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'10dec'!$J$2:$J$24</c15:sqref>
                        </c15:formulaRef>
                      </c:ext>
                    </c:extLst>
                    <c:strCache>
                      <c:ptCount val="23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'10dec'!$K$2:$K$24</c15:sqref>
                        </c15:formulaRef>
                      </c:ext>
                    </c:extLst>
                    <c:numCache>
                      <c:formatCode>0.0</c:formatCode>
                      <c:ptCount val="23"/>
                      <c:pt idx="0">
                        <c:v>11.233333333333333</c:v>
                      </c:pt>
                      <c:pt idx="1">
                        <c:v>11.3</c:v>
                      </c:pt>
                      <c:pt idx="2">
                        <c:v>11.275</c:v>
                      </c:pt>
                      <c:pt idx="3">
                        <c:v>11.3</c:v>
                      </c:pt>
                      <c:pt idx="4">
                        <c:v>11.366666666666667</c:v>
                      </c:pt>
                      <c:pt idx="5">
                        <c:v>11.25</c:v>
                      </c:pt>
                      <c:pt idx="6">
                        <c:v>11.2</c:v>
                      </c:pt>
                      <c:pt idx="7">
                        <c:v>11.1</c:v>
                      </c:pt>
                      <c:pt idx="8">
                        <c:v>10.925000000000001</c:v>
                      </c:pt>
                      <c:pt idx="9">
                        <c:v>10.8</c:v>
                      </c:pt>
                      <c:pt idx="10">
                        <c:v>10.8</c:v>
                      </c:pt>
                      <c:pt idx="11">
                        <c:v>11.05</c:v>
                      </c:pt>
                      <c:pt idx="12">
                        <c:v>11</c:v>
                      </c:pt>
                      <c:pt idx="13">
                        <c:v>10.733333333333333</c:v>
                      </c:pt>
                      <c:pt idx="14">
                        <c:v>10.55</c:v>
                      </c:pt>
                      <c:pt idx="15">
                        <c:v>10.275</c:v>
                      </c:pt>
                      <c:pt idx="16">
                        <c:v>10.1</c:v>
                      </c:pt>
                      <c:pt idx="17">
                        <c:v>10.1</c:v>
                      </c:pt>
                      <c:pt idx="18">
                        <c:v>10.333333333333332</c:v>
                      </c:pt>
                      <c:pt idx="19">
                        <c:v>10.425000000000001</c:v>
                      </c:pt>
                      <c:pt idx="20">
                        <c:v>10.5</c:v>
                      </c:pt>
                      <c:pt idx="21">
                        <c:v>10.45</c:v>
                      </c:pt>
                      <c:pt idx="22">
                        <c:v>10.35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B-3FCD-41C3-BA80-F18C00F5178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Hum Inde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'10dec'!$J$2:$J$24</c15:sqref>
                        </c15:formulaRef>
                      </c:ext>
                    </c:extLst>
                    <c:strCache>
                      <c:ptCount val="23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'10dec'!$M$2:$M$24</c15:sqref>
                        </c15:formulaRef>
                      </c:ext>
                    </c:extLst>
                    <c:numCache>
                      <c:formatCode>0.00%</c:formatCode>
                      <c:ptCount val="23"/>
                      <c:pt idx="0">
                        <c:v>0.84066666666666667</c:v>
                      </c:pt>
                      <c:pt idx="1">
                        <c:v>0.84299999999999997</c:v>
                      </c:pt>
                      <c:pt idx="2">
                        <c:v>0.85049999999999992</c:v>
                      </c:pt>
                      <c:pt idx="3">
                        <c:v>0.85600000000000009</c:v>
                      </c:pt>
                      <c:pt idx="4">
                        <c:v>0.87066666666666648</c:v>
                      </c:pt>
                      <c:pt idx="5">
                        <c:v>0.88249999999999995</c:v>
                      </c:pt>
                      <c:pt idx="6">
                        <c:v>0.90800000000000003</c:v>
                      </c:pt>
                      <c:pt idx="7">
                        <c:v>0.94000000000000006</c:v>
                      </c:pt>
                      <c:pt idx="8">
                        <c:v>0.96125000000000005</c:v>
                      </c:pt>
                      <c:pt idx="9">
                        <c:v>0.98000000000000009</c:v>
                      </c:pt>
                      <c:pt idx="10">
                        <c:v>0.98899999999999988</c:v>
                      </c:pt>
                      <c:pt idx="11">
                        <c:v>0.93533333333333335</c:v>
                      </c:pt>
                      <c:pt idx="12">
                        <c:v>0.874</c:v>
                      </c:pt>
                      <c:pt idx="13">
                        <c:v>0.85799999999999998</c:v>
                      </c:pt>
                      <c:pt idx="14">
                        <c:v>0.85624999999999996</c:v>
                      </c:pt>
                      <c:pt idx="15">
                        <c:v>0.85450000000000004</c:v>
                      </c:pt>
                      <c:pt idx="16">
                        <c:v>0.85866666666666658</c:v>
                      </c:pt>
                      <c:pt idx="17">
                        <c:v>0.86250000000000004</c:v>
                      </c:pt>
                      <c:pt idx="18">
                        <c:v>0.87466666666666681</c:v>
                      </c:pt>
                      <c:pt idx="19">
                        <c:v>0.87799999999999989</c:v>
                      </c:pt>
                      <c:pt idx="20">
                        <c:v>0.88460000000000005</c:v>
                      </c:pt>
                      <c:pt idx="21">
                        <c:v>0.88700000000000012</c:v>
                      </c:pt>
                      <c:pt idx="22">
                        <c:v>0.92274999999999996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C-3FCD-41C3-BA80-F18C00F5178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Hum Ude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'10dec'!$J$2:$J$24</c15:sqref>
                        </c15:formulaRef>
                      </c:ext>
                    </c:extLst>
                    <c:strCache>
                      <c:ptCount val="23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'10dec'!$N$2:$N$24</c15:sqref>
                        </c15:formulaRef>
                      </c:ext>
                    </c:extLst>
                    <c:numCache>
                      <c:formatCode>0.00%</c:formatCode>
                      <c:ptCount val="23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0.99533333333333329</c:v>
                      </c:pt>
                      <c:pt idx="19">
                        <c:v>0.99349999999999983</c:v>
                      </c:pt>
                      <c:pt idx="20">
                        <c:v>0.99120000000000008</c:v>
                      </c:pt>
                      <c:pt idx="21">
                        <c:v>0.98650000000000004</c:v>
                      </c:pt>
                      <c:pt idx="22">
                        <c:v>0.98799999999999988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D-3FCD-41C3-BA80-F18C00F51782}"/>
                  </c:ext>
                </c:extLst>
              </c15:ser>
            </c15:filteredLineSeries>
          </c:ext>
        </c:extLst>
      </c:lineChart>
      <c:catAx>
        <c:axId val="472270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72267456"/>
        <c:crosses val="autoZero"/>
        <c:auto val="1"/>
        <c:lblAlgn val="ctr"/>
        <c:lblOffset val="100"/>
        <c:noMultiLvlLbl val="0"/>
      </c:catAx>
      <c:valAx>
        <c:axId val="47226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Lys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7227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11/12</a:t>
            </a:r>
            <a:r>
              <a:rPr lang="da-DK" baseline="0"/>
              <a:t> Temperatur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 Inde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0B63-4E3D-B8BC-F497F3EC938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B63-4E3D-B8BC-F497F3EC938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63-4E3D-B8BC-F497F3EC938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B63-4E3D-B8BC-F497F3EC938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B63-4E3D-B8BC-F497F3EC938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63-4E3D-B8BC-F497F3EC938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B63-4E3D-B8BC-F497F3EC938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B63-4E3D-B8BC-F497F3EC938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B63-4E3D-B8BC-F497F3EC938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B63-4E3D-B8BC-F497F3EC938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B63-4E3D-B8BC-F497F3EC938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B63-4E3D-B8BC-F497F3EC938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B63-4E3D-B8BC-F497F3EC938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B63-4E3D-B8BC-F497F3EC938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0B63-4E3D-B8BC-F497F3EC938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0B63-4E3D-B8BC-F497F3EC938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0B63-4E3D-B8BC-F497F3EC938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0B63-4E3D-B8BC-F497F3EC938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0B63-4E3D-B8BC-F497F3EC938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B63-4E3D-B8BC-F497F3EC938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B63-4E3D-B8BC-F497F3EC938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B63-4E3D-B8BC-F497F3EC93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'11dec'!$J$2:$J$25</c:f>
              <c:strCache>
                <c:ptCount val="24"/>
                <c:pt idx="0">
                  <c:v>00:01-01:00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  <c:pt idx="9">
                  <c:v>09:00-10:00</c:v>
                </c:pt>
                <c:pt idx="10">
                  <c:v>10:00-11:00</c:v>
                </c:pt>
                <c:pt idx="11">
                  <c:v>11:00-12:00</c:v>
                </c:pt>
                <c:pt idx="12">
                  <c:v>12:00-13:00</c:v>
                </c:pt>
                <c:pt idx="13">
                  <c:v>13:00-14:00</c:v>
                </c:pt>
                <c:pt idx="14">
                  <c:v>14:00-15:00</c:v>
                </c:pt>
                <c:pt idx="15">
                  <c:v>15:00-16:00</c:v>
                </c:pt>
                <c:pt idx="16">
                  <c:v>16:00-17:00</c:v>
                </c:pt>
                <c:pt idx="17">
                  <c:v>17:00-18:00</c:v>
                </c:pt>
                <c:pt idx="18">
                  <c:v>18:00-19:00</c:v>
                </c:pt>
                <c:pt idx="19">
                  <c:v>19:00-20:00</c:v>
                </c:pt>
                <c:pt idx="20">
                  <c:v>20:00-21:00</c:v>
                </c:pt>
                <c:pt idx="21">
                  <c:v>21:00-22:00</c:v>
                </c:pt>
                <c:pt idx="22">
                  <c:v>22:00-23:00</c:v>
                </c:pt>
                <c:pt idx="23">
                  <c:v>23:00-00:00</c:v>
                </c:pt>
              </c:strCache>
            </c:strRef>
          </c:cat>
          <c:val>
            <c:numRef>
              <c:f>'11dec'!$K$2:$K$25</c:f>
              <c:numCache>
                <c:formatCode>0.0</c:formatCode>
                <c:ptCount val="24"/>
                <c:pt idx="0">
                  <c:v>9.7333333333333325</c:v>
                </c:pt>
                <c:pt idx="1">
                  <c:v>9.7333333333333325</c:v>
                </c:pt>
                <c:pt idx="2">
                  <c:v>9.6999999999999993</c:v>
                </c:pt>
                <c:pt idx="3">
                  <c:v>9.5</c:v>
                </c:pt>
                <c:pt idx="4">
                  <c:v>9.4400000000000013</c:v>
                </c:pt>
                <c:pt idx="5">
                  <c:v>9.4</c:v>
                </c:pt>
                <c:pt idx="6">
                  <c:v>9.125</c:v>
                </c:pt>
                <c:pt idx="7">
                  <c:v>8.9</c:v>
                </c:pt>
                <c:pt idx="8">
                  <c:v>9.0333333333333332</c:v>
                </c:pt>
                <c:pt idx="9">
                  <c:v>9.3249999999999993</c:v>
                </c:pt>
                <c:pt idx="10">
                  <c:v>9.5</c:v>
                </c:pt>
                <c:pt idx="11">
                  <c:v>9.6750000000000007</c:v>
                </c:pt>
                <c:pt idx="12">
                  <c:v>9.7666666666666675</c:v>
                </c:pt>
                <c:pt idx="13">
                  <c:v>9.8000000000000007</c:v>
                </c:pt>
                <c:pt idx="14">
                  <c:v>9.8000000000000007</c:v>
                </c:pt>
                <c:pt idx="15">
                  <c:v>9.74</c:v>
                </c:pt>
                <c:pt idx="16">
                  <c:v>9.5749999999999993</c:v>
                </c:pt>
                <c:pt idx="17">
                  <c:v>9.6</c:v>
                </c:pt>
                <c:pt idx="18">
                  <c:v>9.65</c:v>
                </c:pt>
                <c:pt idx="19">
                  <c:v>9.5250000000000004</c:v>
                </c:pt>
                <c:pt idx="20">
                  <c:v>9.6333333333333329</c:v>
                </c:pt>
                <c:pt idx="21">
                  <c:v>9.4666666666666668</c:v>
                </c:pt>
                <c:pt idx="22">
                  <c:v>9.375</c:v>
                </c:pt>
                <c:pt idx="23">
                  <c:v>9.2249999999999996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63-4E3D-B8BC-F497F3EC938A}"/>
            </c:ext>
          </c:extLst>
        </c:ser>
        <c:ser>
          <c:idx val="1"/>
          <c:order val="1"/>
          <c:tx>
            <c:v>T Ude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B63-4E3D-B8BC-F497F3EC938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B63-4E3D-B8BC-F497F3EC938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B63-4E3D-B8BC-F497F3EC938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B63-4E3D-B8BC-F497F3EC938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B63-4E3D-B8BC-F497F3EC938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63-4E3D-B8BC-F497F3EC938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B63-4E3D-B8BC-F497F3EC938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B63-4E3D-B8BC-F497F3EC938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B63-4E3D-B8BC-F497F3EC938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B63-4E3D-B8BC-F497F3EC938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B63-4E3D-B8BC-F497F3EC938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B63-4E3D-B8BC-F497F3EC938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B63-4E3D-B8BC-F497F3EC938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B63-4E3D-B8BC-F497F3EC938A}"/>
                </c:ext>
              </c:extLst>
            </c:dLbl>
            <c:dLbl>
              <c:idx val="15"/>
              <c:layout>
                <c:manualLayout>
                  <c:x val="-3.9527777777777877E-2"/>
                  <c:y val="-3.46875911344415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B63-4E3D-B8BC-F497F3EC938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B63-4E3D-B8BC-F497F3EC938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B63-4E3D-B8BC-F497F3EC938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B63-4E3D-B8BC-F497F3EC938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B63-4E3D-B8BC-F497F3EC938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B63-4E3D-B8BC-F497F3EC938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B63-4E3D-B8BC-F497F3EC938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B63-4E3D-B8BC-F497F3EC938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B63-4E3D-B8BC-F497F3EC93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'11dec'!$J$2:$J$25</c:f>
              <c:strCache>
                <c:ptCount val="24"/>
                <c:pt idx="0">
                  <c:v>00:01-01:00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  <c:pt idx="9">
                  <c:v>09:00-10:00</c:v>
                </c:pt>
                <c:pt idx="10">
                  <c:v>10:00-11:00</c:v>
                </c:pt>
                <c:pt idx="11">
                  <c:v>11:00-12:00</c:v>
                </c:pt>
                <c:pt idx="12">
                  <c:v>12:00-13:00</c:v>
                </c:pt>
                <c:pt idx="13">
                  <c:v>13:00-14:00</c:v>
                </c:pt>
                <c:pt idx="14">
                  <c:v>14:00-15:00</c:v>
                </c:pt>
                <c:pt idx="15">
                  <c:v>15:00-16:00</c:v>
                </c:pt>
                <c:pt idx="16">
                  <c:v>16:00-17:00</c:v>
                </c:pt>
                <c:pt idx="17">
                  <c:v>17:00-18:00</c:v>
                </c:pt>
                <c:pt idx="18">
                  <c:v>18:00-19:00</c:v>
                </c:pt>
                <c:pt idx="19">
                  <c:v>19:00-20:00</c:v>
                </c:pt>
                <c:pt idx="20">
                  <c:v>20:00-21:00</c:v>
                </c:pt>
                <c:pt idx="21">
                  <c:v>21:00-22:00</c:v>
                </c:pt>
                <c:pt idx="22">
                  <c:v>22:00-23:00</c:v>
                </c:pt>
                <c:pt idx="23">
                  <c:v>23:00-00:00</c:v>
                </c:pt>
              </c:strCache>
            </c:strRef>
          </c:cat>
          <c:val>
            <c:numRef>
              <c:f>'11dec'!$L$2:$L$25</c:f>
              <c:numCache>
                <c:formatCode>0.0</c:formatCode>
                <c:ptCount val="24"/>
                <c:pt idx="0">
                  <c:v>9.1999999999999993</c:v>
                </c:pt>
                <c:pt idx="1">
                  <c:v>9.3000000000000007</c:v>
                </c:pt>
                <c:pt idx="2">
                  <c:v>9.1</c:v>
                </c:pt>
                <c:pt idx="3">
                  <c:v>9</c:v>
                </c:pt>
                <c:pt idx="4">
                  <c:v>9.02</c:v>
                </c:pt>
                <c:pt idx="5">
                  <c:v>9</c:v>
                </c:pt>
                <c:pt idx="6">
                  <c:v>8.625</c:v>
                </c:pt>
                <c:pt idx="7">
                  <c:v>8.2750000000000004</c:v>
                </c:pt>
                <c:pt idx="8">
                  <c:v>8.6333333333333329</c:v>
                </c:pt>
                <c:pt idx="9">
                  <c:v>8.9749999999999996</c:v>
                </c:pt>
                <c:pt idx="10">
                  <c:v>9.1666666666666679</c:v>
                </c:pt>
                <c:pt idx="11">
                  <c:v>9.3249999999999993</c:v>
                </c:pt>
                <c:pt idx="12">
                  <c:v>9.3000000000000007</c:v>
                </c:pt>
                <c:pt idx="13">
                  <c:v>9.3000000000000007</c:v>
                </c:pt>
                <c:pt idx="14">
                  <c:v>9.3000000000000007</c:v>
                </c:pt>
                <c:pt idx="15">
                  <c:v>9.36</c:v>
                </c:pt>
                <c:pt idx="16">
                  <c:v>9.125</c:v>
                </c:pt>
                <c:pt idx="17">
                  <c:v>9.25</c:v>
                </c:pt>
                <c:pt idx="18">
                  <c:v>9.25</c:v>
                </c:pt>
                <c:pt idx="19">
                  <c:v>9.0749999999999993</c:v>
                </c:pt>
                <c:pt idx="20">
                  <c:v>9.3333333333333321</c:v>
                </c:pt>
                <c:pt idx="21">
                  <c:v>9</c:v>
                </c:pt>
                <c:pt idx="22">
                  <c:v>8.875</c:v>
                </c:pt>
                <c:pt idx="23">
                  <c:v>8.7750000000000004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63-4E3D-B8BC-F497F3EC93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86486016"/>
        <c:axId val="38648313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Hum Inde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'11dec'!$J$2:$J$25</c15:sqref>
                        </c15:formulaRef>
                      </c:ext>
                    </c:extLst>
                    <c:strCache>
                      <c:ptCount val="24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  <c:pt idx="23">
                        <c:v>23:00-00:00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'11dec'!$M$2:$M$25</c15:sqref>
                        </c15:formulaRef>
                      </c:ext>
                    </c:extLst>
                    <c:numCache>
                      <c:formatCode>0.00%</c:formatCode>
                      <c:ptCount val="24"/>
                      <c:pt idx="0">
                        <c:v>0.8859999999999999</c:v>
                      </c:pt>
                      <c:pt idx="1">
                        <c:v>0.8869999999999999</c:v>
                      </c:pt>
                      <c:pt idx="2">
                        <c:v>0.8859999999999999</c:v>
                      </c:pt>
                      <c:pt idx="3">
                        <c:v>0.88550000000000006</c:v>
                      </c:pt>
                      <c:pt idx="4">
                        <c:v>0.88640000000000008</c:v>
                      </c:pt>
                      <c:pt idx="5">
                        <c:v>0.88866666666666649</c:v>
                      </c:pt>
                      <c:pt idx="6">
                        <c:v>0.88525000000000009</c:v>
                      </c:pt>
                      <c:pt idx="7">
                        <c:v>0.88324999999999998</c:v>
                      </c:pt>
                      <c:pt idx="8">
                        <c:v>0.89066666666666661</c:v>
                      </c:pt>
                      <c:pt idx="9">
                        <c:v>0.89599999999999991</c:v>
                      </c:pt>
                      <c:pt idx="10">
                        <c:v>0.89966666666666684</c:v>
                      </c:pt>
                      <c:pt idx="11">
                        <c:v>0.90375000000000016</c:v>
                      </c:pt>
                      <c:pt idx="12">
                        <c:v>0.90800000000000003</c:v>
                      </c:pt>
                      <c:pt idx="13">
                        <c:v>0.90733333333333321</c:v>
                      </c:pt>
                      <c:pt idx="14">
                        <c:v>0.90700000000000003</c:v>
                      </c:pt>
                      <c:pt idx="15">
                        <c:v>0.90560000000000007</c:v>
                      </c:pt>
                      <c:pt idx="16">
                        <c:v>0.90474999999999994</c:v>
                      </c:pt>
                      <c:pt idx="17">
                        <c:v>0.90700000000000003</c:v>
                      </c:pt>
                      <c:pt idx="18">
                        <c:v>0.90625000000000022</c:v>
                      </c:pt>
                      <c:pt idx="19">
                        <c:v>0.90575000000000006</c:v>
                      </c:pt>
                      <c:pt idx="20">
                        <c:v>0.91366666666666652</c:v>
                      </c:pt>
                      <c:pt idx="21">
                        <c:v>0.90700000000000003</c:v>
                      </c:pt>
                      <c:pt idx="22">
                        <c:v>0.90500000000000003</c:v>
                      </c:pt>
                      <c:pt idx="23">
                        <c:v>0.90349999999999997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0B63-4E3D-B8BC-F497F3EC938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Hum Ude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'11dec'!$J$2:$J$25</c15:sqref>
                        </c15:formulaRef>
                      </c:ext>
                    </c:extLst>
                    <c:strCache>
                      <c:ptCount val="24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  <c:pt idx="23">
                        <c:v>23:00-00:00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'11dec'!$N$2:$N$25</c15:sqref>
                        </c15:formulaRef>
                      </c:ext>
                    </c:extLst>
                    <c:numCache>
                      <c:formatCode>0.00%</c:formatCode>
                      <c:ptCount val="24"/>
                      <c:pt idx="0">
                        <c:v>0.98766666666666669</c:v>
                      </c:pt>
                      <c:pt idx="1">
                        <c:v>0.97933333333333317</c:v>
                      </c:pt>
                      <c:pt idx="2">
                        <c:v>0.9890000000000001</c:v>
                      </c:pt>
                      <c:pt idx="3">
                        <c:v>0.98349999999999993</c:v>
                      </c:pt>
                      <c:pt idx="4">
                        <c:v>0.97160000000000013</c:v>
                      </c:pt>
                      <c:pt idx="5">
                        <c:v>0.97200000000000009</c:v>
                      </c:pt>
                      <c:pt idx="6">
                        <c:v>0.97150000000000003</c:v>
                      </c:pt>
                      <c:pt idx="7">
                        <c:v>0.99950000000000006</c:v>
                      </c:pt>
                      <c:pt idx="8">
                        <c:v>0.99866666666666659</c:v>
                      </c:pt>
                      <c:pt idx="9">
                        <c:v>0.99724999999999997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0.998</c:v>
                      </c:pt>
                      <c:pt idx="15">
                        <c:v>0.98360000000000003</c:v>
                      </c:pt>
                      <c:pt idx="16">
                        <c:v>0.98675000000000002</c:v>
                      </c:pt>
                      <c:pt idx="17">
                        <c:v>0.96799999999999997</c:v>
                      </c:pt>
                      <c:pt idx="18">
                        <c:v>0.95299999999999996</c:v>
                      </c:pt>
                      <c:pt idx="19">
                        <c:v>0.97125000000000006</c:v>
                      </c:pt>
                      <c:pt idx="20">
                        <c:v>0.94633333333333325</c:v>
                      </c:pt>
                      <c:pt idx="21">
                        <c:v>0.96099999999999997</c:v>
                      </c:pt>
                      <c:pt idx="22">
                        <c:v>0.96400000000000008</c:v>
                      </c:pt>
                      <c:pt idx="23">
                        <c:v>0.97799999999999998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0B63-4E3D-B8BC-F497F3EC938A}"/>
                  </c:ext>
                </c:extLst>
              </c15:ser>
            </c15:filteredLineSeries>
          </c:ext>
        </c:extLst>
      </c:lineChart>
      <c:catAx>
        <c:axId val="38648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86483136"/>
        <c:crosses val="autoZero"/>
        <c:auto val="1"/>
        <c:lblAlgn val="ctr"/>
        <c:lblOffset val="100"/>
        <c:noMultiLvlLbl val="0"/>
      </c:catAx>
      <c:valAx>
        <c:axId val="386483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Temperatur</a:t>
                </a:r>
                <a:r>
                  <a:rPr lang="da-DK" baseline="0"/>
                  <a:t> , C◦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8648601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11/12</a:t>
            </a:r>
            <a:r>
              <a:rPr lang="da-DK" baseline="0"/>
              <a:t> Luftfugtighed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v>Hum Inde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280-439A-87B1-713A2D402B3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280-439A-87B1-713A2D402B3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280-439A-87B1-713A2D402B3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280-439A-87B1-713A2D402B3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280-439A-87B1-713A2D402B3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280-439A-87B1-713A2D402B3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280-439A-87B1-713A2D402B3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280-439A-87B1-713A2D402B3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280-439A-87B1-713A2D402B3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280-439A-87B1-713A2D402B3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280-439A-87B1-713A2D402B3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280-439A-87B1-713A2D402B35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280-439A-87B1-713A2D402B35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280-439A-87B1-713A2D402B3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280-439A-87B1-713A2D402B3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280-439A-87B1-713A2D402B3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280-439A-87B1-713A2D402B35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280-439A-87B1-713A2D402B35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280-439A-87B1-713A2D402B35}"/>
                </c:ext>
              </c:extLst>
            </c:dLbl>
            <c:dLbl>
              <c:idx val="20"/>
              <c:layout>
                <c:manualLayout>
                  <c:x val="-6.1701443569553809E-2"/>
                  <c:y val="-2.53042825924818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280-439A-87B1-713A2D402B35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280-439A-87B1-713A2D402B35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280-439A-87B1-713A2D402B35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280-439A-87B1-713A2D402B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'11dec'!$J$2:$J$25</c:f>
              <c:strCache>
                <c:ptCount val="24"/>
                <c:pt idx="0">
                  <c:v>00:01-01:00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  <c:pt idx="9">
                  <c:v>09:00-10:00</c:v>
                </c:pt>
                <c:pt idx="10">
                  <c:v>10:00-11:00</c:v>
                </c:pt>
                <c:pt idx="11">
                  <c:v>11:00-12:00</c:v>
                </c:pt>
                <c:pt idx="12">
                  <c:v>12:00-13:00</c:v>
                </c:pt>
                <c:pt idx="13">
                  <c:v>13:00-14:00</c:v>
                </c:pt>
                <c:pt idx="14">
                  <c:v>14:00-15:00</c:v>
                </c:pt>
                <c:pt idx="15">
                  <c:v>15:00-16:00</c:v>
                </c:pt>
                <c:pt idx="16">
                  <c:v>16:00-17:00</c:v>
                </c:pt>
                <c:pt idx="17">
                  <c:v>17:00-18:00</c:v>
                </c:pt>
                <c:pt idx="18">
                  <c:v>18:00-19:00</c:v>
                </c:pt>
                <c:pt idx="19">
                  <c:v>19:00-20:00</c:v>
                </c:pt>
                <c:pt idx="20">
                  <c:v>20:00-21:00</c:v>
                </c:pt>
                <c:pt idx="21">
                  <c:v>21:00-22:00</c:v>
                </c:pt>
                <c:pt idx="22">
                  <c:v>22:00-23:00</c:v>
                </c:pt>
                <c:pt idx="23">
                  <c:v>23:00-00:00</c:v>
                </c:pt>
              </c:strCache>
            </c:strRef>
          </c:cat>
          <c:val>
            <c:numRef>
              <c:f>'11dec'!$M$2:$M$25</c:f>
              <c:numCache>
                <c:formatCode>0.00%</c:formatCode>
                <c:ptCount val="24"/>
                <c:pt idx="0">
                  <c:v>0.8859999999999999</c:v>
                </c:pt>
                <c:pt idx="1">
                  <c:v>0.8869999999999999</c:v>
                </c:pt>
                <c:pt idx="2">
                  <c:v>0.8859999999999999</c:v>
                </c:pt>
                <c:pt idx="3">
                  <c:v>0.88550000000000006</c:v>
                </c:pt>
                <c:pt idx="4">
                  <c:v>0.88640000000000008</c:v>
                </c:pt>
                <c:pt idx="5">
                  <c:v>0.88866666666666649</c:v>
                </c:pt>
                <c:pt idx="6">
                  <c:v>0.88525000000000009</c:v>
                </c:pt>
                <c:pt idx="7">
                  <c:v>0.88324999999999998</c:v>
                </c:pt>
                <c:pt idx="8">
                  <c:v>0.89066666666666661</c:v>
                </c:pt>
                <c:pt idx="9">
                  <c:v>0.89599999999999991</c:v>
                </c:pt>
                <c:pt idx="10">
                  <c:v>0.89966666666666684</c:v>
                </c:pt>
                <c:pt idx="11">
                  <c:v>0.90375000000000016</c:v>
                </c:pt>
                <c:pt idx="12">
                  <c:v>0.90800000000000003</c:v>
                </c:pt>
                <c:pt idx="13">
                  <c:v>0.90733333333333321</c:v>
                </c:pt>
                <c:pt idx="14">
                  <c:v>0.90700000000000003</c:v>
                </c:pt>
                <c:pt idx="15">
                  <c:v>0.90560000000000007</c:v>
                </c:pt>
                <c:pt idx="16">
                  <c:v>0.90474999999999994</c:v>
                </c:pt>
                <c:pt idx="17">
                  <c:v>0.90700000000000003</c:v>
                </c:pt>
                <c:pt idx="18">
                  <c:v>0.90625000000000022</c:v>
                </c:pt>
                <c:pt idx="19">
                  <c:v>0.90575000000000006</c:v>
                </c:pt>
                <c:pt idx="20">
                  <c:v>0.91366666666666652</c:v>
                </c:pt>
                <c:pt idx="21">
                  <c:v>0.90700000000000003</c:v>
                </c:pt>
                <c:pt idx="22">
                  <c:v>0.90500000000000003</c:v>
                </c:pt>
                <c:pt idx="23">
                  <c:v>0.90349999999999997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280-439A-87B1-713A2D402B35}"/>
            </c:ext>
          </c:extLst>
        </c:ser>
        <c:ser>
          <c:idx val="3"/>
          <c:order val="3"/>
          <c:tx>
            <c:v>Hum Ude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280-439A-87B1-713A2D402B3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280-439A-87B1-713A2D402B3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280-439A-87B1-713A2D402B3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280-439A-87B1-713A2D402B3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280-439A-87B1-713A2D402B3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280-439A-87B1-713A2D402B3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280-439A-87B1-713A2D402B3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280-439A-87B1-713A2D402B3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280-439A-87B1-713A2D402B3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280-439A-87B1-713A2D402B3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280-439A-87B1-713A2D402B3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280-439A-87B1-713A2D402B35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280-439A-87B1-713A2D402B35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280-439A-87B1-713A2D402B3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280-439A-87B1-713A2D402B3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280-439A-87B1-713A2D402B3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280-439A-87B1-713A2D402B35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280-439A-87B1-713A2D402B35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280-439A-87B1-713A2D402B35}"/>
                </c:ext>
              </c:extLst>
            </c:dLbl>
            <c:dLbl>
              <c:idx val="20"/>
              <c:layout>
                <c:manualLayout>
                  <c:x val="-5.0590332458442799E-2"/>
                  <c:y val="-8.10292064855578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280-439A-87B1-713A2D402B35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280-439A-87B1-713A2D402B35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280-439A-87B1-713A2D402B35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280-439A-87B1-713A2D402B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'11dec'!$J$2:$J$25</c:f>
              <c:strCache>
                <c:ptCount val="24"/>
                <c:pt idx="0">
                  <c:v>00:01-01:00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  <c:pt idx="9">
                  <c:v>09:00-10:00</c:v>
                </c:pt>
                <c:pt idx="10">
                  <c:v>10:00-11:00</c:v>
                </c:pt>
                <c:pt idx="11">
                  <c:v>11:00-12:00</c:v>
                </c:pt>
                <c:pt idx="12">
                  <c:v>12:00-13:00</c:v>
                </c:pt>
                <c:pt idx="13">
                  <c:v>13:00-14:00</c:v>
                </c:pt>
                <c:pt idx="14">
                  <c:v>14:00-15:00</c:v>
                </c:pt>
                <c:pt idx="15">
                  <c:v>15:00-16:00</c:v>
                </c:pt>
                <c:pt idx="16">
                  <c:v>16:00-17:00</c:v>
                </c:pt>
                <c:pt idx="17">
                  <c:v>17:00-18:00</c:v>
                </c:pt>
                <c:pt idx="18">
                  <c:v>18:00-19:00</c:v>
                </c:pt>
                <c:pt idx="19">
                  <c:v>19:00-20:00</c:v>
                </c:pt>
                <c:pt idx="20">
                  <c:v>20:00-21:00</c:v>
                </c:pt>
                <c:pt idx="21">
                  <c:v>21:00-22:00</c:v>
                </c:pt>
                <c:pt idx="22">
                  <c:v>22:00-23:00</c:v>
                </c:pt>
                <c:pt idx="23">
                  <c:v>23:00-00:00</c:v>
                </c:pt>
              </c:strCache>
            </c:strRef>
          </c:cat>
          <c:val>
            <c:numRef>
              <c:f>'11dec'!$N$2:$N$25</c:f>
              <c:numCache>
                <c:formatCode>0.00%</c:formatCode>
                <c:ptCount val="24"/>
                <c:pt idx="0">
                  <c:v>0.98766666666666669</c:v>
                </c:pt>
                <c:pt idx="1">
                  <c:v>0.97933333333333317</c:v>
                </c:pt>
                <c:pt idx="2">
                  <c:v>0.9890000000000001</c:v>
                </c:pt>
                <c:pt idx="3">
                  <c:v>0.98349999999999993</c:v>
                </c:pt>
                <c:pt idx="4">
                  <c:v>0.97160000000000013</c:v>
                </c:pt>
                <c:pt idx="5">
                  <c:v>0.97200000000000009</c:v>
                </c:pt>
                <c:pt idx="6">
                  <c:v>0.97150000000000003</c:v>
                </c:pt>
                <c:pt idx="7">
                  <c:v>0.99950000000000006</c:v>
                </c:pt>
                <c:pt idx="8">
                  <c:v>0.99866666666666659</c:v>
                </c:pt>
                <c:pt idx="9">
                  <c:v>0.99724999999999997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0.998</c:v>
                </c:pt>
                <c:pt idx="15">
                  <c:v>0.98360000000000003</c:v>
                </c:pt>
                <c:pt idx="16">
                  <c:v>0.98675000000000002</c:v>
                </c:pt>
                <c:pt idx="17">
                  <c:v>0.96799999999999997</c:v>
                </c:pt>
                <c:pt idx="18">
                  <c:v>0.95299999999999996</c:v>
                </c:pt>
                <c:pt idx="19">
                  <c:v>0.97125000000000006</c:v>
                </c:pt>
                <c:pt idx="20">
                  <c:v>0.94633333333333325</c:v>
                </c:pt>
                <c:pt idx="21">
                  <c:v>0.96099999999999997</c:v>
                </c:pt>
                <c:pt idx="22">
                  <c:v>0.96400000000000008</c:v>
                </c:pt>
                <c:pt idx="23">
                  <c:v>0.97799999999999998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280-439A-87B1-713A2D402B3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86486016"/>
        <c:axId val="3864831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T Inde</c:v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6280-439A-87B1-713A2D402B35}"/>
                      </c:ext>
                    </c:extLst>
                  </c:dLbl>
                  <c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6280-439A-87B1-713A2D402B35}"/>
                      </c:ext>
                    </c:extLst>
                  </c:dLbl>
                  <c:dLbl>
                    <c:idx val="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6280-439A-87B1-713A2D402B35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'11dec'!$J$2:$J$25</c15:sqref>
                        </c15:formulaRef>
                      </c:ext>
                    </c:extLst>
                    <c:strCache>
                      <c:ptCount val="24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  <c:pt idx="23">
                        <c:v>23:00-00:00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'11dec'!$K$2:$K$25</c15:sqref>
                        </c15:formulaRef>
                      </c:ext>
                    </c:extLst>
                    <c:numCache>
                      <c:formatCode>0.0</c:formatCode>
                      <c:ptCount val="24"/>
                      <c:pt idx="0">
                        <c:v>9.7333333333333325</c:v>
                      </c:pt>
                      <c:pt idx="1">
                        <c:v>9.7333333333333325</c:v>
                      </c:pt>
                      <c:pt idx="2">
                        <c:v>9.6999999999999993</c:v>
                      </c:pt>
                      <c:pt idx="3">
                        <c:v>9.5</c:v>
                      </c:pt>
                      <c:pt idx="4">
                        <c:v>9.4400000000000013</c:v>
                      </c:pt>
                      <c:pt idx="5">
                        <c:v>9.4</c:v>
                      </c:pt>
                      <c:pt idx="6">
                        <c:v>9.125</c:v>
                      </c:pt>
                      <c:pt idx="7">
                        <c:v>8.9</c:v>
                      </c:pt>
                      <c:pt idx="8">
                        <c:v>9.0333333333333332</c:v>
                      </c:pt>
                      <c:pt idx="9">
                        <c:v>9.3249999999999993</c:v>
                      </c:pt>
                      <c:pt idx="10">
                        <c:v>9.5</c:v>
                      </c:pt>
                      <c:pt idx="11">
                        <c:v>9.6750000000000007</c:v>
                      </c:pt>
                      <c:pt idx="12">
                        <c:v>9.7666666666666675</c:v>
                      </c:pt>
                      <c:pt idx="13">
                        <c:v>9.8000000000000007</c:v>
                      </c:pt>
                      <c:pt idx="14">
                        <c:v>9.8000000000000007</c:v>
                      </c:pt>
                      <c:pt idx="15">
                        <c:v>9.74</c:v>
                      </c:pt>
                      <c:pt idx="16">
                        <c:v>9.5749999999999993</c:v>
                      </c:pt>
                      <c:pt idx="17">
                        <c:v>9.6</c:v>
                      </c:pt>
                      <c:pt idx="18">
                        <c:v>9.65</c:v>
                      </c:pt>
                      <c:pt idx="19">
                        <c:v>9.5250000000000004</c:v>
                      </c:pt>
                      <c:pt idx="20">
                        <c:v>9.6333333333333329</c:v>
                      </c:pt>
                      <c:pt idx="21">
                        <c:v>9.4666666666666668</c:v>
                      </c:pt>
                      <c:pt idx="22">
                        <c:v>9.375</c:v>
                      </c:pt>
                      <c:pt idx="23">
                        <c:v>9.2249999999999996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280-439A-87B1-713A2D402B3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T Ude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4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6280-439A-87B1-713A2D402B35}"/>
                      </c:ext>
                    </c:extLst>
                  </c:dLbl>
                  <c:dLbl>
                    <c:idx val="5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6280-439A-87B1-713A2D402B35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'11dec'!$J$2:$J$25</c15:sqref>
                        </c15:formulaRef>
                      </c:ext>
                    </c:extLst>
                    <c:strCache>
                      <c:ptCount val="24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  <c:pt idx="23">
                        <c:v>23:00-00:00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'11dec'!$L$2:$L$25</c15:sqref>
                        </c15:formulaRef>
                      </c:ext>
                    </c:extLst>
                    <c:numCache>
                      <c:formatCode>0.0</c:formatCode>
                      <c:ptCount val="24"/>
                      <c:pt idx="0">
                        <c:v>9.1999999999999993</c:v>
                      </c:pt>
                      <c:pt idx="1">
                        <c:v>9.3000000000000007</c:v>
                      </c:pt>
                      <c:pt idx="2">
                        <c:v>9.1</c:v>
                      </c:pt>
                      <c:pt idx="3">
                        <c:v>9</c:v>
                      </c:pt>
                      <c:pt idx="4">
                        <c:v>9.02</c:v>
                      </c:pt>
                      <c:pt idx="5">
                        <c:v>9</c:v>
                      </c:pt>
                      <c:pt idx="6">
                        <c:v>8.625</c:v>
                      </c:pt>
                      <c:pt idx="7">
                        <c:v>8.2750000000000004</c:v>
                      </c:pt>
                      <c:pt idx="8">
                        <c:v>8.6333333333333329</c:v>
                      </c:pt>
                      <c:pt idx="9">
                        <c:v>8.9749999999999996</c:v>
                      </c:pt>
                      <c:pt idx="10">
                        <c:v>9.1666666666666679</c:v>
                      </c:pt>
                      <c:pt idx="11">
                        <c:v>9.3249999999999993</c:v>
                      </c:pt>
                      <c:pt idx="12">
                        <c:v>9.3000000000000007</c:v>
                      </c:pt>
                      <c:pt idx="13">
                        <c:v>9.3000000000000007</c:v>
                      </c:pt>
                      <c:pt idx="14">
                        <c:v>9.3000000000000007</c:v>
                      </c:pt>
                      <c:pt idx="15">
                        <c:v>9.36</c:v>
                      </c:pt>
                      <c:pt idx="16">
                        <c:v>9.125</c:v>
                      </c:pt>
                      <c:pt idx="17">
                        <c:v>9.25</c:v>
                      </c:pt>
                      <c:pt idx="18">
                        <c:v>9.25</c:v>
                      </c:pt>
                      <c:pt idx="19">
                        <c:v>9.0749999999999993</c:v>
                      </c:pt>
                      <c:pt idx="20">
                        <c:v>9.3333333333333321</c:v>
                      </c:pt>
                      <c:pt idx="21">
                        <c:v>9</c:v>
                      </c:pt>
                      <c:pt idx="22">
                        <c:v>8.875</c:v>
                      </c:pt>
                      <c:pt idx="23">
                        <c:v>8.7750000000000004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280-439A-87B1-713A2D402B35}"/>
                  </c:ext>
                </c:extLst>
              </c15:ser>
            </c15:filteredLineSeries>
          </c:ext>
        </c:extLst>
      </c:lineChart>
      <c:catAx>
        <c:axId val="38648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86483136"/>
        <c:crosses val="autoZero"/>
        <c:auto val="1"/>
        <c:lblAlgn val="ctr"/>
        <c:lblOffset val="100"/>
        <c:noMultiLvlLbl val="0"/>
      </c:catAx>
      <c:valAx>
        <c:axId val="386483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Relativ</a:t>
                </a:r>
                <a:r>
                  <a:rPr lang="da-DK" baseline="0"/>
                  <a:t> luftfugtighed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8648601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11/12</a:t>
            </a:r>
            <a:r>
              <a:rPr lang="da-DK" baseline="0"/>
              <a:t> Lys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v>Lys</c:v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680-4F50-8E64-CEECECFDA0B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680-4F50-8E64-CEECECFDA0B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680-4F50-8E64-CEECECFDA0B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680-4F50-8E64-CEECECFDA0B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680-4F50-8E64-CEECECFDA0B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680-4F50-8E64-CEECECFDA0B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680-4F50-8E64-CEECECFDA0B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680-4F50-8E64-CEECECFDA0B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680-4F50-8E64-CEECECFDA0B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680-4F50-8E64-CEECECFDA0B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680-4F50-8E64-CEECECFDA0B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680-4F50-8E64-CEECECFDA0B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680-4F50-8E64-CEECECFDA0B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680-4F50-8E64-CEECECFDA0B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680-4F50-8E64-CEECECFDA0B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680-4F50-8E64-CEECECFDA0B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680-4F50-8E64-CEECECFDA0B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680-4F50-8E64-CEECECFDA0B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680-4F50-8E64-CEECECFDA0B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680-4F50-8E64-CEECECFDA0B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680-4F50-8E64-CEECECFDA0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'11dec'!$O$2:$O$25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0.25</c:v>
                </c:pt>
                <c:pt idx="8">
                  <c:v>25</c:v>
                </c:pt>
                <c:pt idx="9">
                  <c:v>74</c:v>
                </c:pt>
                <c:pt idx="10">
                  <c:v>126.33333333333333</c:v>
                </c:pt>
                <c:pt idx="11">
                  <c:v>120.5</c:v>
                </c:pt>
                <c:pt idx="12">
                  <c:v>108</c:v>
                </c:pt>
                <c:pt idx="13">
                  <c:v>85</c:v>
                </c:pt>
                <c:pt idx="14">
                  <c:v>62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80-4F50-8E64-CEECECFDA0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86486016"/>
        <c:axId val="3864831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T Inde</c:v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2680-4F50-8E64-CEECECFDA0B4}"/>
                      </c:ext>
                    </c:extLst>
                  </c:dLbl>
                  <c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2680-4F50-8E64-CEECECFDA0B4}"/>
                      </c:ext>
                    </c:extLst>
                  </c:dLbl>
                  <c:dLbl>
                    <c:idx val="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2680-4F50-8E64-CEECECFDA0B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'11dec'!$J$2:$J$25</c15:sqref>
                        </c15:formulaRef>
                      </c:ext>
                    </c:extLst>
                    <c:strCache>
                      <c:ptCount val="24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  <c:pt idx="23">
                        <c:v>23:00-00:00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'11dec'!$K$2:$K$25</c15:sqref>
                        </c15:formulaRef>
                      </c:ext>
                    </c:extLst>
                    <c:numCache>
                      <c:formatCode>0.0</c:formatCode>
                      <c:ptCount val="24"/>
                      <c:pt idx="0">
                        <c:v>9.7333333333333325</c:v>
                      </c:pt>
                      <c:pt idx="1">
                        <c:v>9.7333333333333325</c:v>
                      </c:pt>
                      <c:pt idx="2">
                        <c:v>9.6999999999999993</c:v>
                      </c:pt>
                      <c:pt idx="3">
                        <c:v>9.5</c:v>
                      </c:pt>
                      <c:pt idx="4">
                        <c:v>9.4400000000000013</c:v>
                      </c:pt>
                      <c:pt idx="5">
                        <c:v>9.4</c:v>
                      </c:pt>
                      <c:pt idx="6">
                        <c:v>9.125</c:v>
                      </c:pt>
                      <c:pt idx="7">
                        <c:v>8.9</c:v>
                      </c:pt>
                      <c:pt idx="8">
                        <c:v>9.0333333333333332</c:v>
                      </c:pt>
                      <c:pt idx="9">
                        <c:v>9.3249999999999993</c:v>
                      </c:pt>
                      <c:pt idx="10">
                        <c:v>9.5</c:v>
                      </c:pt>
                      <c:pt idx="11">
                        <c:v>9.6750000000000007</c:v>
                      </c:pt>
                      <c:pt idx="12">
                        <c:v>9.7666666666666675</c:v>
                      </c:pt>
                      <c:pt idx="13">
                        <c:v>9.8000000000000007</c:v>
                      </c:pt>
                      <c:pt idx="14">
                        <c:v>9.8000000000000007</c:v>
                      </c:pt>
                      <c:pt idx="15">
                        <c:v>9.74</c:v>
                      </c:pt>
                      <c:pt idx="16">
                        <c:v>9.5749999999999993</c:v>
                      </c:pt>
                      <c:pt idx="17">
                        <c:v>9.6</c:v>
                      </c:pt>
                      <c:pt idx="18">
                        <c:v>9.65</c:v>
                      </c:pt>
                      <c:pt idx="19">
                        <c:v>9.5250000000000004</c:v>
                      </c:pt>
                      <c:pt idx="20">
                        <c:v>9.6333333333333329</c:v>
                      </c:pt>
                      <c:pt idx="21">
                        <c:v>9.4666666666666668</c:v>
                      </c:pt>
                      <c:pt idx="22">
                        <c:v>9.375</c:v>
                      </c:pt>
                      <c:pt idx="23">
                        <c:v>9.2249999999999996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680-4F50-8E64-CEECECFDA0B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T Ude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4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2680-4F50-8E64-CEECECFDA0B4}"/>
                      </c:ext>
                    </c:extLst>
                  </c:dLbl>
                  <c:dLbl>
                    <c:idx val="5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2680-4F50-8E64-CEECECFDA0B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'11dec'!$J$2:$J$25</c15:sqref>
                        </c15:formulaRef>
                      </c:ext>
                    </c:extLst>
                    <c:strCache>
                      <c:ptCount val="24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  <c:pt idx="23">
                        <c:v>23:00-00:00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'11dec'!$L$2:$L$25</c15:sqref>
                        </c15:formulaRef>
                      </c:ext>
                    </c:extLst>
                    <c:numCache>
                      <c:formatCode>0.0</c:formatCode>
                      <c:ptCount val="24"/>
                      <c:pt idx="0">
                        <c:v>9.1999999999999993</c:v>
                      </c:pt>
                      <c:pt idx="1">
                        <c:v>9.3000000000000007</c:v>
                      </c:pt>
                      <c:pt idx="2">
                        <c:v>9.1</c:v>
                      </c:pt>
                      <c:pt idx="3">
                        <c:v>9</c:v>
                      </c:pt>
                      <c:pt idx="4">
                        <c:v>9.02</c:v>
                      </c:pt>
                      <c:pt idx="5">
                        <c:v>9</c:v>
                      </c:pt>
                      <c:pt idx="6">
                        <c:v>8.625</c:v>
                      </c:pt>
                      <c:pt idx="7">
                        <c:v>8.2750000000000004</c:v>
                      </c:pt>
                      <c:pt idx="8">
                        <c:v>8.6333333333333329</c:v>
                      </c:pt>
                      <c:pt idx="9">
                        <c:v>8.9749999999999996</c:v>
                      </c:pt>
                      <c:pt idx="10">
                        <c:v>9.1666666666666679</c:v>
                      </c:pt>
                      <c:pt idx="11">
                        <c:v>9.3249999999999993</c:v>
                      </c:pt>
                      <c:pt idx="12">
                        <c:v>9.3000000000000007</c:v>
                      </c:pt>
                      <c:pt idx="13">
                        <c:v>9.3000000000000007</c:v>
                      </c:pt>
                      <c:pt idx="14">
                        <c:v>9.3000000000000007</c:v>
                      </c:pt>
                      <c:pt idx="15">
                        <c:v>9.36</c:v>
                      </c:pt>
                      <c:pt idx="16">
                        <c:v>9.125</c:v>
                      </c:pt>
                      <c:pt idx="17">
                        <c:v>9.25</c:v>
                      </c:pt>
                      <c:pt idx="18">
                        <c:v>9.25</c:v>
                      </c:pt>
                      <c:pt idx="19">
                        <c:v>9.0749999999999993</c:v>
                      </c:pt>
                      <c:pt idx="20">
                        <c:v>9.3333333333333321</c:v>
                      </c:pt>
                      <c:pt idx="21">
                        <c:v>9</c:v>
                      </c:pt>
                      <c:pt idx="22">
                        <c:v>8.875</c:v>
                      </c:pt>
                      <c:pt idx="23">
                        <c:v>8.7750000000000004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2680-4F50-8E64-CEECECFDA0B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Hum Inde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'11dec'!$J$2:$J$25</c15:sqref>
                        </c15:formulaRef>
                      </c:ext>
                    </c:extLst>
                    <c:strCache>
                      <c:ptCount val="24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  <c:pt idx="23">
                        <c:v>23:00-00:00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'11dec'!$M$2:$M$25</c15:sqref>
                        </c15:formulaRef>
                      </c:ext>
                    </c:extLst>
                    <c:numCache>
                      <c:formatCode>0.00%</c:formatCode>
                      <c:ptCount val="24"/>
                      <c:pt idx="0">
                        <c:v>0.8859999999999999</c:v>
                      </c:pt>
                      <c:pt idx="1">
                        <c:v>0.8869999999999999</c:v>
                      </c:pt>
                      <c:pt idx="2">
                        <c:v>0.8859999999999999</c:v>
                      </c:pt>
                      <c:pt idx="3">
                        <c:v>0.88550000000000006</c:v>
                      </c:pt>
                      <c:pt idx="4">
                        <c:v>0.88640000000000008</c:v>
                      </c:pt>
                      <c:pt idx="5">
                        <c:v>0.88866666666666649</c:v>
                      </c:pt>
                      <c:pt idx="6">
                        <c:v>0.88525000000000009</c:v>
                      </c:pt>
                      <c:pt idx="7">
                        <c:v>0.88324999999999998</c:v>
                      </c:pt>
                      <c:pt idx="8">
                        <c:v>0.89066666666666661</c:v>
                      </c:pt>
                      <c:pt idx="9">
                        <c:v>0.89599999999999991</c:v>
                      </c:pt>
                      <c:pt idx="10">
                        <c:v>0.89966666666666684</c:v>
                      </c:pt>
                      <c:pt idx="11">
                        <c:v>0.90375000000000016</c:v>
                      </c:pt>
                      <c:pt idx="12">
                        <c:v>0.90800000000000003</c:v>
                      </c:pt>
                      <c:pt idx="13">
                        <c:v>0.90733333333333321</c:v>
                      </c:pt>
                      <c:pt idx="14">
                        <c:v>0.90700000000000003</c:v>
                      </c:pt>
                      <c:pt idx="15">
                        <c:v>0.90560000000000007</c:v>
                      </c:pt>
                      <c:pt idx="16">
                        <c:v>0.90474999999999994</c:v>
                      </c:pt>
                      <c:pt idx="17">
                        <c:v>0.90700000000000003</c:v>
                      </c:pt>
                      <c:pt idx="18">
                        <c:v>0.90625000000000022</c:v>
                      </c:pt>
                      <c:pt idx="19">
                        <c:v>0.90575000000000006</c:v>
                      </c:pt>
                      <c:pt idx="20">
                        <c:v>0.91366666666666652</c:v>
                      </c:pt>
                      <c:pt idx="21">
                        <c:v>0.90700000000000003</c:v>
                      </c:pt>
                      <c:pt idx="22">
                        <c:v>0.90500000000000003</c:v>
                      </c:pt>
                      <c:pt idx="23">
                        <c:v>0.90349999999999997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2680-4F50-8E64-CEECECFDA0B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Hum Ude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'11dec'!$J$2:$J$25</c15:sqref>
                        </c15:formulaRef>
                      </c:ext>
                    </c:extLst>
                    <c:strCache>
                      <c:ptCount val="24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  <c:pt idx="9">
                        <c:v>09:00-10:00</c:v>
                      </c:pt>
                      <c:pt idx="10">
                        <c:v>10:00-11:00</c:v>
                      </c:pt>
                      <c:pt idx="11">
                        <c:v>11:00-12:00</c:v>
                      </c:pt>
                      <c:pt idx="12">
                        <c:v>12:00-13:00</c:v>
                      </c:pt>
                      <c:pt idx="13">
                        <c:v>13:00-14:00</c:v>
                      </c:pt>
                      <c:pt idx="14">
                        <c:v>14:00-15:00</c:v>
                      </c:pt>
                      <c:pt idx="15">
                        <c:v>15:00-16:00</c:v>
                      </c:pt>
                      <c:pt idx="16">
                        <c:v>16:00-17:00</c:v>
                      </c:pt>
                      <c:pt idx="17">
                        <c:v>17:00-18:00</c:v>
                      </c:pt>
                      <c:pt idx="18">
                        <c:v>18:00-19:00</c:v>
                      </c:pt>
                      <c:pt idx="19">
                        <c:v>19:00-20:00</c:v>
                      </c:pt>
                      <c:pt idx="20">
                        <c:v>20:00-21:00</c:v>
                      </c:pt>
                      <c:pt idx="21">
                        <c:v>21:00-22:00</c:v>
                      </c:pt>
                      <c:pt idx="22">
                        <c:v>22:00-23:00</c:v>
                      </c:pt>
                      <c:pt idx="23">
                        <c:v>23:00-00:00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'11dec'!$N$2:$N$25</c15:sqref>
                        </c15:formulaRef>
                      </c:ext>
                    </c:extLst>
                    <c:numCache>
                      <c:formatCode>0.00%</c:formatCode>
                      <c:ptCount val="24"/>
                      <c:pt idx="0">
                        <c:v>0.98766666666666669</c:v>
                      </c:pt>
                      <c:pt idx="1">
                        <c:v>0.97933333333333317</c:v>
                      </c:pt>
                      <c:pt idx="2">
                        <c:v>0.9890000000000001</c:v>
                      </c:pt>
                      <c:pt idx="3">
                        <c:v>0.98349999999999993</c:v>
                      </c:pt>
                      <c:pt idx="4">
                        <c:v>0.97160000000000013</c:v>
                      </c:pt>
                      <c:pt idx="5">
                        <c:v>0.97200000000000009</c:v>
                      </c:pt>
                      <c:pt idx="6">
                        <c:v>0.97150000000000003</c:v>
                      </c:pt>
                      <c:pt idx="7">
                        <c:v>0.99950000000000006</c:v>
                      </c:pt>
                      <c:pt idx="8">
                        <c:v>0.99866666666666659</c:v>
                      </c:pt>
                      <c:pt idx="9">
                        <c:v>0.99724999999999997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0.998</c:v>
                      </c:pt>
                      <c:pt idx="15">
                        <c:v>0.98360000000000003</c:v>
                      </c:pt>
                      <c:pt idx="16">
                        <c:v>0.98675000000000002</c:v>
                      </c:pt>
                      <c:pt idx="17">
                        <c:v>0.96799999999999997</c:v>
                      </c:pt>
                      <c:pt idx="18">
                        <c:v>0.95299999999999996</c:v>
                      </c:pt>
                      <c:pt idx="19">
                        <c:v>0.97125000000000006</c:v>
                      </c:pt>
                      <c:pt idx="20">
                        <c:v>0.94633333333333325</c:v>
                      </c:pt>
                      <c:pt idx="21">
                        <c:v>0.96099999999999997</c:v>
                      </c:pt>
                      <c:pt idx="22">
                        <c:v>0.96400000000000008</c:v>
                      </c:pt>
                      <c:pt idx="23">
                        <c:v>0.97799999999999998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2680-4F50-8E64-CEECECFDA0B4}"/>
                  </c:ext>
                </c:extLst>
              </c15:ser>
            </c15:filteredLineSeries>
          </c:ext>
        </c:extLst>
      </c:lineChart>
      <c:catAx>
        <c:axId val="38648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86483136"/>
        <c:crosses val="autoZero"/>
        <c:auto val="1"/>
        <c:lblAlgn val="ctr"/>
        <c:lblOffset val="100"/>
        <c:noMultiLvlLbl val="0"/>
      </c:catAx>
      <c:valAx>
        <c:axId val="386483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Lys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8648601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12/12</a:t>
            </a:r>
            <a:r>
              <a:rPr lang="da-DK" baseline="0"/>
              <a:t> Temperatur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 inde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417-4B69-8D56-CEDC2E66E0D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17-4B69-8D56-CEDC2E66E0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17-4B69-8D56-CEDC2E66E0D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417-4B69-8D56-CEDC2E66E0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17-4B69-8D56-CEDC2E66E0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417-4B69-8D56-CEDC2E66E0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417-4B69-8D56-CEDC2E66E0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'12dec'!$J$2:$J$10</c:f>
              <c:strCache>
                <c:ptCount val="9"/>
                <c:pt idx="0">
                  <c:v>00:01-01:00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</c:strCache>
            </c:strRef>
          </c:cat>
          <c:val>
            <c:numRef>
              <c:f>'12dec'!$K$2:$K$10</c:f>
              <c:numCache>
                <c:formatCode>0.0</c:formatCode>
                <c:ptCount val="9"/>
                <c:pt idx="0">
                  <c:v>9.2200000000000006</c:v>
                </c:pt>
                <c:pt idx="1">
                  <c:v>9.3000000000000007</c:v>
                </c:pt>
                <c:pt idx="2">
                  <c:v>9.3333333333333321</c:v>
                </c:pt>
                <c:pt idx="3">
                  <c:v>9.4749999999999996</c:v>
                </c:pt>
                <c:pt idx="4">
                  <c:v>9.4333333333333336</c:v>
                </c:pt>
                <c:pt idx="5">
                  <c:v>9.3000000000000007</c:v>
                </c:pt>
                <c:pt idx="6">
                  <c:v>9.18</c:v>
                </c:pt>
                <c:pt idx="7">
                  <c:v>9.0250000000000004</c:v>
                </c:pt>
                <c:pt idx="8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17-4B69-8D56-CEDC2E66E0D8}"/>
            </c:ext>
          </c:extLst>
        </c:ser>
        <c:ser>
          <c:idx val="1"/>
          <c:order val="1"/>
          <c:tx>
            <c:v>T Ude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417-4B69-8D56-CEDC2E66E0D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417-4B69-8D56-CEDC2E66E0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417-4B69-8D56-CEDC2E66E0D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17-4B69-8D56-CEDC2E66E0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17-4B69-8D56-CEDC2E66E0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417-4B69-8D56-CEDC2E66E0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417-4B69-8D56-CEDC2E66E0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'12dec'!$J$2:$J$10</c:f>
              <c:strCache>
                <c:ptCount val="9"/>
                <c:pt idx="0">
                  <c:v>00:01-01:00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</c:strCache>
            </c:strRef>
          </c:cat>
          <c:val>
            <c:numRef>
              <c:f>'12dec'!$L$2:$L$10</c:f>
              <c:numCache>
                <c:formatCode>0.0</c:formatCode>
                <c:ptCount val="9"/>
                <c:pt idx="0">
                  <c:v>8.7799999999999994</c:v>
                </c:pt>
                <c:pt idx="1">
                  <c:v>8.8666666666666671</c:v>
                </c:pt>
                <c:pt idx="2">
                  <c:v>9</c:v>
                </c:pt>
                <c:pt idx="3">
                  <c:v>9.1</c:v>
                </c:pt>
                <c:pt idx="4">
                  <c:v>9.0333333333333332</c:v>
                </c:pt>
                <c:pt idx="5">
                  <c:v>8.7333333333333325</c:v>
                </c:pt>
                <c:pt idx="6">
                  <c:v>8.68</c:v>
                </c:pt>
                <c:pt idx="7">
                  <c:v>8.5749999999999993</c:v>
                </c:pt>
                <c:pt idx="8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17-4B69-8D56-CEDC2E66E0D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86486016"/>
        <c:axId val="38648313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Hum Inde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'12dec'!$J$2:$J$10</c15:sqref>
                        </c15:formulaRef>
                      </c:ext>
                    </c:extLst>
                    <c:strCache>
                      <c:ptCount val="9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'12dec'!$M$2:$M$10</c15:sqref>
                        </c15:formulaRef>
                      </c:ext>
                    </c:extLst>
                    <c:numCache>
                      <c:formatCode>0.00%</c:formatCode>
                      <c:ptCount val="9"/>
                      <c:pt idx="0">
                        <c:v>0.90380000000000005</c:v>
                      </c:pt>
                      <c:pt idx="1">
                        <c:v>0.90566666666666662</c:v>
                      </c:pt>
                      <c:pt idx="2">
                        <c:v>0.90700000000000003</c:v>
                      </c:pt>
                      <c:pt idx="3">
                        <c:v>0.90800000000000003</c:v>
                      </c:pt>
                      <c:pt idx="4">
                        <c:v>0.90733333333333321</c:v>
                      </c:pt>
                      <c:pt idx="5">
                        <c:v>0.90666666666666684</c:v>
                      </c:pt>
                      <c:pt idx="6">
                        <c:v>0.90680000000000016</c:v>
                      </c:pt>
                      <c:pt idx="7">
                        <c:v>0.90525</c:v>
                      </c:pt>
                      <c:pt idx="8">
                        <c:v>0.90600000000000003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A417-4B69-8D56-CEDC2E66E0D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Hum Ude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'12dec'!$J$2:$J$10</c15:sqref>
                        </c15:formulaRef>
                      </c:ext>
                    </c:extLst>
                    <c:strCache>
                      <c:ptCount val="9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'12dec'!$N$2:$N$10</c15:sqref>
                        </c15:formulaRef>
                      </c:ext>
                    </c:extLst>
                    <c:numCache>
                      <c:formatCode>0.00%</c:formatCode>
                      <c:ptCount val="9"/>
                      <c:pt idx="0">
                        <c:v>0.98040000000000005</c:v>
                      </c:pt>
                      <c:pt idx="1">
                        <c:v>0.9793333333333335</c:v>
                      </c:pt>
                      <c:pt idx="2">
                        <c:v>0.96899999999999997</c:v>
                      </c:pt>
                      <c:pt idx="3">
                        <c:v>0.95525000000000004</c:v>
                      </c:pt>
                      <c:pt idx="4">
                        <c:v>0.96</c:v>
                      </c:pt>
                      <c:pt idx="5">
                        <c:v>0.9816666666666668</c:v>
                      </c:pt>
                      <c:pt idx="6">
                        <c:v>0.9788</c:v>
                      </c:pt>
                      <c:pt idx="7">
                        <c:v>0.95749999999999991</c:v>
                      </c:pt>
                      <c:pt idx="8">
                        <c:v>0.95099999999999996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A417-4B69-8D56-CEDC2E66E0D8}"/>
                  </c:ext>
                </c:extLst>
              </c15:ser>
            </c15:filteredLineSeries>
          </c:ext>
        </c:extLst>
      </c:lineChart>
      <c:catAx>
        <c:axId val="38648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86483136"/>
        <c:crosses val="autoZero"/>
        <c:auto val="1"/>
        <c:lblAlgn val="ctr"/>
        <c:lblOffset val="100"/>
        <c:noMultiLvlLbl val="0"/>
      </c:catAx>
      <c:valAx>
        <c:axId val="386483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Temperatur</a:t>
                </a:r>
                <a:r>
                  <a:rPr lang="da-DK" baseline="0"/>
                  <a:t> , C◦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8648601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12/12</a:t>
            </a:r>
            <a:r>
              <a:rPr lang="da-DK" baseline="0"/>
              <a:t> Luftfugtighed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v>Hum Inde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980-42BD-B5AE-00991D2B5EB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980-42BD-B5AE-00991D2B5EB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980-42BD-B5AE-00991D2B5EB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980-42BD-B5AE-00991D2B5EB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980-42BD-B5AE-00991D2B5EB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980-42BD-B5AE-00991D2B5EB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980-42BD-B5AE-00991D2B5E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'12dec'!$J$2:$J$10</c:f>
              <c:strCache>
                <c:ptCount val="9"/>
                <c:pt idx="0">
                  <c:v>00:01-01:00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</c:strCache>
            </c:strRef>
          </c:cat>
          <c:val>
            <c:numRef>
              <c:f>'12dec'!$M$2:$M$10</c:f>
              <c:numCache>
                <c:formatCode>0.00%</c:formatCode>
                <c:ptCount val="9"/>
                <c:pt idx="0">
                  <c:v>0.90380000000000005</c:v>
                </c:pt>
                <c:pt idx="1">
                  <c:v>0.90566666666666662</c:v>
                </c:pt>
                <c:pt idx="2">
                  <c:v>0.90700000000000003</c:v>
                </c:pt>
                <c:pt idx="3">
                  <c:v>0.90800000000000003</c:v>
                </c:pt>
                <c:pt idx="4">
                  <c:v>0.90733333333333321</c:v>
                </c:pt>
                <c:pt idx="5">
                  <c:v>0.90666666666666684</c:v>
                </c:pt>
                <c:pt idx="6">
                  <c:v>0.90680000000000016</c:v>
                </c:pt>
                <c:pt idx="7">
                  <c:v>0.90525</c:v>
                </c:pt>
                <c:pt idx="8">
                  <c:v>0.90600000000000003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980-42BD-B5AE-00991D2B5EB8}"/>
            </c:ext>
          </c:extLst>
        </c:ser>
        <c:ser>
          <c:idx val="3"/>
          <c:order val="3"/>
          <c:tx>
            <c:v>Hum Ude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980-42BD-B5AE-00991D2B5EB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980-42BD-B5AE-00991D2B5EB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980-42BD-B5AE-00991D2B5EB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980-42BD-B5AE-00991D2B5EB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980-42BD-B5AE-00991D2B5EB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980-42BD-B5AE-00991D2B5EB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980-42BD-B5AE-00991D2B5E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'12dec'!$J$2:$J$10</c:f>
              <c:strCache>
                <c:ptCount val="9"/>
                <c:pt idx="0">
                  <c:v>00:01-01:00</c:v>
                </c:pt>
                <c:pt idx="1">
                  <c:v>01:00-02:00</c:v>
                </c:pt>
                <c:pt idx="2">
                  <c:v>02:00-03:00</c:v>
                </c:pt>
                <c:pt idx="3">
                  <c:v>03:00-04:00</c:v>
                </c:pt>
                <c:pt idx="4">
                  <c:v>04:00-05:00</c:v>
                </c:pt>
                <c:pt idx="5">
                  <c:v>05:00-06:00</c:v>
                </c:pt>
                <c:pt idx="6">
                  <c:v>06:00-07:00</c:v>
                </c:pt>
                <c:pt idx="7">
                  <c:v>07:00-08:00</c:v>
                </c:pt>
                <c:pt idx="8">
                  <c:v>08:00-09:00</c:v>
                </c:pt>
              </c:strCache>
            </c:strRef>
          </c:cat>
          <c:val>
            <c:numRef>
              <c:f>'12dec'!$N$2:$N$10</c:f>
              <c:numCache>
                <c:formatCode>0.00%</c:formatCode>
                <c:ptCount val="9"/>
                <c:pt idx="0">
                  <c:v>0.98040000000000005</c:v>
                </c:pt>
                <c:pt idx="1">
                  <c:v>0.9793333333333335</c:v>
                </c:pt>
                <c:pt idx="2">
                  <c:v>0.96899999999999997</c:v>
                </c:pt>
                <c:pt idx="3">
                  <c:v>0.95525000000000004</c:v>
                </c:pt>
                <c:pt idx="4">
                  <c:v>0.96</c:v>
                </c:pt>
                <c:pt idx="5">
                  <c:v>0.9816666666666668</c:v>
                </c:pt>
                <c:pt idx="6">
                  <c:v>0.9788</c:v>
                </c:pt>
                <c:pt idx="7">
                  <c:v>0.95749999999999991</c:v>
                </c:pt>
                <c:pt idx="8">
                  <c:v>0.95099999999999996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980-42BD-B5AE-00991D2B5EB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86486016"/>
        <c:axId val="3864831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T inde</c:v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7980-42BD-B5AE-00991D2B5EB8}"/>
                      </c:ext>
                    </c:extLst>
                  </c:dLbl>
                  <c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7980-42BD-B5AE-00991D2B5EB8}"/>
                      </c:ext>
                    </c:extLst>
                  </c:dLbl>
                  <c:dLbl>
                    <c:idx val="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7980-42BD-B5AE-00991D2B5EB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'12dec'!$J$2:$J$10</c15:sqref>
                        </c15:formulaRef>
                      </c:ext>
                    </c:extLst>
                    <c:strCache>
                      <c:ptCount val="9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'12dec'!$K$2:$K$10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9.2200000000000006</c:v>
                      </c:pt>
                      <c:pt idx="1">
                        <c:v>9.3000000000000007</c:v>
                      </c:pt>
                      <c:pt idx="2">
                        <c:v>9.3333333333333321</c:v>
                      </c:pt>
                      <c:pt idx="3">
                        <c:v>9.4749999999999996</c:v>
                      </c:pt>
                      <c:pt idx="4">
                        <c:v>9.4333333333333336</c:v>
                      </c:pt>
                      <c:pt idx="5">
                        <c:v>9.3000000000000007</c:v>
                      </c:pt>
                      <c:pt idx="6">
                        <c:v>9.18</c:v>
                      </c:pt>
                      <c:pt idx="7">
                        <c:v>9.0250000000000004</c:v>
                      </c:pt>
                      <c:pt idx="8">
                        <c:v>8.9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980-42BD-B5AE-00991D2B5EB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T Ude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4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7980-42BD-B5AE-00991D2B5EB8}"/>
                      </c:ext>
                    </c:extLst>
                  </c:dLbl>
                  <c:dLbl>
                    <c:idx val="5"/>
                    <c:delete val="1"/>
                    <c:extLst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7980-42BD-B5AE-00991D2B5EB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D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'12dec'!$J$2:$J$10</c15:sqref>
                        </c15:formulaRef>
                      </c:ext>
                    </c:extLst>
                    <c:strCache>
                      <c:ptCount val="9"/>
                      <c:pt idx="0">
                        <c:v>00:01-01:00</c:v>
                      </c:pt>
                      <c:pt idx="1">
                        <c:v>01:00-02:00</c:v>
                      </c:pt>
                      <c:pt idx="2">
                        <c:v>02:00-03:00</c:v>
                      </c:pt>
                      <c:pt idx="3">
                        <c:v>03:00-04:00</c:v>
                      </c:pt>
                      <c:pt idx="4">
                        <c:v>04:00-05:00</c:v>
                      </c:pt>
                      <c:pt idx="5">
                        <c:v>05:00-06:00</c:v>
                      </c:pt>
                      <c:pt idx="6">
                        <c:v>06:00-07:00</c:v>
                      </c:pt>
                      <c:pt idx="7">
                        <c:v>07:00-08:00</c:v>
                      </c:pt>
                      <c:pt idx="8">
                        <c:v>08:00-09:00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'12dec'!$L$2:$L$10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8.7799999999999994</c:v>
                      </c:pt>
                      <c:pt idx="1">
                        <c:v>8.8666666666666671</c:v>
                      </c:pt>
                      <c:pt idx="2">
                        <c:v>9</c:v>
                      </c:pt>
                      <c:pt idx="3">
                        <c:v>9.1</c:v>
                      </c:pt>
                      <c:pt idx="4">
                        <c:v>9.0333333333333332</c:v>
                      </c:pt>
                      <c:pt idx="5">
                        <c:v>8.7333333333333325</c:v>
                      </c:pt>
                      <c:pt idx="6">
                        <c:v>8.68</c:v>
                      </c:pt>
                      <c:pt idx="7">
                        <c:v>8.5749999999999993</c:v>
                      </c:pt>
                      <c:pt idx="8">
                        <c:v>8.5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980-42BD-B5AE-00991D2B5EB8}"/>
                  </c:ext>
                </c:extLst>
              </c15:ser>
            </c15:filteredLineSeries>
          </c:ext>
        </c:extLst>
      </c:lineChart>
      <c:catAx>
        <c:axId val="38648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86483136"/>
        <c:crosses val="autoZero"/>
        <c:auto val="1"/>
        <c:lblAlgn val="ctr"/>
        <c:lblOffset val="100"/>
        <c:noMultiLvlLbl val="0"/>
      </c:catAx>
      <c:valAx>
        <c:axId val="386483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Relativ luftfugtighed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8648601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30480</xdr:colOff>
      <xdr:row>0</xdr:row>
      <xdr:rowOff>45720</xdr:rowOff>
    </xdr:from>
    <xdr:to>
      <xdr:col>22</xdr:col>
      <xdr:colOff>335280</xdr:colOff>
      <xdr:row>15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3A6D0-43A1-0E58-F7CB-E337D99A5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30480</xdr:colOff>
      <xdr:row>15</xdr:row>
      <xdr:rowOff>83820</xdr:rowOff>
    </xdr:from>
    <xdr:to>
      <xdr:col>22</xdr:col>
      <xdr:colOff>335280</xdr:colOff>
      <xdr:row>30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7B2B95-8B72-4B79-AC3C-49A7C2F78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350520</xdr:colOff>
      <xdr:row>1</xdr:row>
      <xdr:rowOff>45720</xdr:rowOff>
    </xdr:from>
    <xdr:to>
      <xdr:col>23</xdr:col>
      <xdr:colOff>45720</xdr:colOff>
      <xdr:row>16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14F873-A226-964D-74D8-9F4844EA6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396240</xdr:colOff>
      <xdr:row>18</xdr:row>
      <xdr:rowOff>0</xdr:rowOff>
    </xdr:from>
    <xdr:to>
      <xdr:col>23</xdr:col>
      <xdr:colOff>91440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70A5B3-3095-4EF9-B2A6-AC71CCE52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396240</xdr:colOff>
      <xdr:row>33</xdr:row>
      <xdr:rowOff>68580</xdr:rowOff>
    </xdr:from>
    <xdr:to>
      <xdr:col>23</xdr:col>
      <xdr:colOff>91440</xdr:colOff>
      <xdr:row>48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5EF417-4926-4A1E-98C3-E4264AA5D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68580</xdr:colOff>
      <xdr:row>1</xdr:row>
      <xdr:rowOff>38100</xdr:rowOff>
    </xdr:from>
    <xdr:to>
      <xdr:col>22</xdr:col>
      <xdr:colOff>373380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F7591F-F617-4F17-905B-A52CCE767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68580</xdr:colOff>
      <xdr:row>16</xdr:row>
      <xdr:rowOff>160020</xdr:rowOff>
    </xdr:from>
    <xdr:to>
      <xdr:col>22</xdr:col>
      <xdr:colOff>373380</xdr:colOff>
      <xdr:row>31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8704B-B3A1-461B-B995-A36815064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68580</xdr:colOff>
      <xdr:row>32</xdr:row>
      <xdr:rowOff>68580</xdr:rowOff>
    </xdr:from>
    <xdr:to>
      <xdr:col>22</xdr:col>
      <xdr:colOff>373380</xdr:colOff>
      <xdr:row>47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D98666-B071-4696-B857-A462E7B78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114300</xdr:colOff>
      <xdr:row>1</xdr:row>
      <xdr:rowOff>15240</xdr:rowOff>
    </xdr:from>
    <xdr:to>
      <xdr:col>22</xdr:col>
      <xdr:colOff>419100</xdr:colOff>
      <xdr:row>16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A217B-C0F1-4DC0-93E1-FA2C85A94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17</xdr:row>
      <xdr:rowOff>0</xdr:rowOff>
    </xdr:from>
    <xdr:to>
      <xdr:col>22</xdr:col>
      <xdr:colOff>304800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D59266-A664-4696-A0CA-A6F9A0D2B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BD82-2C06-4C1C-9428-CC9AD9C37CF1}">
  <dimension ref="A1:AD299"/>
  <sheetViews>
    <sheetView tabSelected="1" topLeftCell="A21" workbookViewId="0">
      <selection activeCell="I30" sqref="I30"/>
    </sheetView>
  </sheetViews>
  <sheetFormatPr defaultRowHeight="14.4" x14ac:dyDescent="0.3"/>
  <cols>
    <col min="1" max="1" width="15.88671875" customWidth="1"/>
    <col min="10" max="11" width="10.77734375" bestFit="1" customWidth="1"/>
    <col min="12" max="12" width="8.88671875" style="6"/>
    <col min="14" max="14" width="8.88671875" style="6"/>
    <col min="27" max="27" width="10.77734375" bestFit="1" customWidth="1"/>
    <col min="28" max="28" width="8.88671875" style="8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AD1" s="6"/>
    </row>
    <row r="2" spans="1:30" x14ac:dyDescent="0.3">
      <c r="A2" s="1">
        <v>46000</v>
      </c>
      <c r="B2" s="2">
        <v>0.76148148148148154</v>
      </c>
      <c r="C2">
        <v>115</v>
      </c>
      <c r="D2" s="3">
        <v>7.56</v>
      </c>
      <c r="E2">
        <v>98</v>
      </c>
      <c r="F2" s="3">
        <v>10</v>
      </c>
      <c r="G2">
        <v>0</v>
      </c>
      <c r="J2" s="4"/>
      <c r="AC2" s="6"/>
      <c r="AD2" s="6"/>
    </row>
    <row r="3" spans="1:30" x14ac:dyDescent="0.3">
      <c r="A3" s="1">
        <v>46000</v>
      </c>
      <c r="B3" s="2">
        <v>0.77337962962962958</v>
      </c>
      <c r="C3">
        <v>122</v>
      </c>
      <c r="D3" s="3">
        <v>9.2100000000000009</v>
      </c>
      <c r="E3">
        <v>105</v>
      </c>
      <c r="F3" s="3">
        <v>10</v>
      </c>
      <c r="G3">
        <v>0</v>
      </c>
      <c r="AC3" s="6"/>
      <c r="AD3" s="6"/>
    </row>
    <row r="4" spans="1:30" x14ac:dyDescent="0.3">
      <c r="A4" s="1">
        <v>46000</v>
      </c>
      <c r="B4" s="2">
        <v>0.7795023148148148</v>
      </c>
      <c r="C4">
        <v>119</v>
      </c>
      <c r="D4" s="3">
        <v>8.91</v>
      </c>
      <c r="E4">
        <v>106</v>
      </c>
      <c r="F4" s="3">
        <v>10</v>
      </c>
      <c r="G4">
        <v>0</v>
      </c>
      <c r="AC4" s="6"/>
      <c r="AD4" s="6"/>
    </row>
    <row r="5" spans="1:30" x14ac:dyDescent="0.3">
      <c r="A5" s="1">
        <v>46000</v>
      </c>
      <c r="B5" s="2">
        <v>0.78643518518518518</v>
      </c>
      <c r="C5">
        <v>119</v>
      </c>
      <c r="D5" s="3">
        <v>8.93</v>
      </c>
      <c r="E5">
        <v>107</v>
      </c>
      <c r="F5" s="3">
        <v>10</v>
      </c>
      <c r="G5">
        <v>0</v>
      </c>
      <c r="AC5" s="6"/>
      <c r="AD5" s="6"/>
    </row>
    <row r="6" spans="1:30" x14ac:dyDescent="0.3">
      <c r="A6" s="1">
        <v>46000</v>
      </c>
      <c r="B6" s="2">
        <v>0.81859953703703703</v>
      </c>
      <c r="C6">
        <v>111</v>
      </c>
      <c r="D6" s="3">
        <v>8.9499999999999993</v>
      </c>
      <c r="E6">
        <v>102</v>
      </c>
      <c r="F6" s="3">
        <v>10</v>
      </c>
      <c r="G6">
        <v>0</v>
      </c>
      <c r="AC6" s="6"/>
      <c r="AD6" s="6"/>
    </row>
    <row r="7" spans="1:30" x14ac:dyDescent="0.3">
      <c r="A7" s="1">
        <v>46000</v>
      </c>
      <c r="B7" s="2">
        <v>0.82553240740740741</v>
      </c>
      <c r="C7">
        <v>112</v>
      </c>
      <c r="D7" s="3">
        <v>9.59</v>
      </c>
      <c r="E7">
        <v>106</v>
      </c>
      <c r="F7" s="3">
        <v>10</v>
      </c>
      <c r="G7">
        <v>0</v>
      </c>
      <c r="AC7" s="6"/>
      <c r="AD7" s="6"/>
    </row>
    <row r="8" spans="1:30" x14ac:dyDescent="0.3">
      <c r="A8" s="1">
        <v>46000</v>
      </c>
      <c r="B8" s="2">
        <v>0.83942129629629625</v>
      </c>
      <c r="C8">
        <v>110</v>
      </c>
      <c r="D8" s="3">
        <v>8.19</v>
      </c>
      <c r="E8">
        <v>100</v>
      </c>
      <c r="F8" s="3">
        <v>10</v>
      </c>
      <c r="G8">
        <v>0</v>
      </c>
      <c r="AC8" s="6"/>
      <c r="AD8" s="6"/>
    </row>
    <row r="9" spans="1:30" x14ac:dyDescent="0.3">
      <c r="A9" s="1">
        <v>46000</v>
      </c>
      <c r="B9" s="2">
        <v>0.84636574074074078</v>
      </c>
      <c r="C9">
        <v>109</v>
      </c>
      <c r="D9" s="3">
        <v>8.1199999999999992</v>
      </c>
      <c r="E9">
        <v>99</v>
      </c>
      <c r="F9" s="3">
        <v>10</v>
      </c>
      <c r="G9">
        <v>0</v>
      </c>
      <c r="AC9" s="6"/>
      <c r="AD9" s="6"/>
    </row>
    <row r="10" spans="1:30" x14ac:dyDescent="0.3">
      <c r="A10" s="1">
        <v>46000</v>
      </c>
      <c r="B10" s="2">
        <v>0.86719907407407404</v>
      </c>
      <c r="C10">
        <v>107</v>
      </c>
      <c r="D10" s="3">
        <v>8.07</v>
      </c>
      <c r="E10">
        <v>99</v>
      </c>
      <c r="F10" s="3">
        <v>10</v>
      </c>
      <c r="G10">
        <v>0</v>
      </c>
      <c r="J10" s="4"/>
      <c r="AC10" s="6"/>
      <c r="AD10" s="6"/>
    </row>
    <row r="11" spans="1:30" x14ac:dyDescent="0.3">
      <c r="A11" s="1">
        <v>46000</v>
      </c>
      <c r="B11" s="2">
        <v>0.87414351851851857</v>
      </c>
      <c r="C11">
        <v>107</v>
      </c>
      <c r="D11" s="3">
        <v>8.06</v>
      </c>
      <c r="E11">
        <v>99</v>
      </c>
      <c r="F11" s="3">
        <v>10</v>
      </c>
      <c r="G11">
        <v>0</v>
      </c>
      <c r="AC11" s="6"/>
      <c r="AD11" s="6"/>
    </row>
    <row r="12" spans="1:30" x14ac:dyDescent="0.3">
      <c r="A12" s="1">
        <v>46000</v>
      </c>
      <c r="B12" s="2">
        <v>0.88108796296296299</v>
      </c>
      <c r="C12">
        <v>107</v>
      </c>
      <c r="D12" s="3">
        <v>8.0500000000000007</v>
      </c>
      <c r="E12">
        <v>99</v>
      </c>
      <c r="F12" s="3">
        <v>10</v>
      </c>
      <c r="G12">
        <v>0</v>
      </c>
      <c r="AC12" s="6"/>
      <c r="AD12" s="6"/>
    </row>
    <row r="13" spans="1:30" x14ac:dyDescent="0.3">
      <c r="A13" s="1">
        <v>46000</v>
      </c>
      <c r="B13" s="2">
        <v>0.88803240740740741</v>
      </c>
      <c r="C13">
        <v>107</v>
      </c>
      <c r="D13" s="3">
        <v>8.0500000000000007</v>
      </c>
      <c r="E13">
        <v>99</v>
      </c>
      <c r="F13" s="3">
        <v>10</v>
      </c>
      <c r="G13">
        <v>0</v>
      </c>
      <c r="AC13" s="6"/>
      <c r="AD13" s="6"/>
    </row>
    <row r="14" spans="1:30" x14ac:dyDescent="0.3">
      <c r="A14" s="1">
        <v>46000</v>
      </c>
      <c r="B14" s="2">
        <v>0.90886574074074078</v>
      </c>
      <c r="C14">
        <v>107</v>
      </c>
      <c r="D14" s="3">
        <v>8.0500000000000007</v>
      </c>
      <c r="E14">
        <v>99</v>
      </c>
      <c r="F14" s="3">
        <v>10</v>
      </c>
      <c r="G14">
        <v>0</v>
      </c>
      <c r="AC14" s="6"/>
      <c r="AD14" s="6"/>
    </row>
    <row r="15" spans="1:30" x14ac:dyDescent="0.3">
      <c r="A15" s="1">
        <v>46000</v>
      </c>
      <c r="B15" s="2">
        <v>0.9158101851851852</v>
      </c>
      <c r="C15">
        <v>107</v>
      </c>
      <c r="D15" s="3">
        <v>8.06</v>
      </c>
      <c r="E15">
        <v>99</v>
      </c>
      <c r="F15" s="3">
        <v>10</v>
      </c>
      <c r="G15">
        <v>0</v>
      </c>
      <c r="AC15" s="6"/>
      <c r="AD15" s="6"/>
    </row>
    <row r="16" spans="1:30" x14ac:dyDescent="0.3">
      <c r="A16" s="1">
        <v>46000</v>
      </c>
      <c r="B16" s="2">
        <v>0.92275462962962962</v>
      </c>
      <c r="C16">
        <v>107</v>
      </c>
      <c r="D16" s="3">
        <v>8.07</v>
      </c>
      <c r="E16">
        <v>100</v>
      </c>
      <c r="F16" s="3">
        <v>10</v>
      </c>
      <c r="G16">
        <v>0</v>
      </c>
      <c r="AC16" s="6"/>
      <c r="AD16" s="6"/>
    </row>
    <row r="17" spans="1:30" x14ac:dyDescent="0.3">
      <c r="A17" s="1">
        <v>46000</v>
      </c>
      <c r="B17" s="2">
        <v>0.93664351851851857</v>
      </c>
      <c r="C17">
        <v>107</v>
      </c>
      <c r="D17" s="3">
        <v>8.07</v>
      </c>
      <c r="E17">
        <v>100</v>
      </c>
      <c r="F17" s="3">
        <v>10</v>
      </c>
      <c r="G17">
        <v>0</v>
      </c>
      <c r="AC17" s="6"/>
      <c r="AD17" s="6"/>
    </row>
    <row r="18" spans="1:30" x14ac:dyDescent="0.3">
      <c r="A18" s="1">
        <v>46000</v>
      </c>
      <c r="B18" s="2">
        <v>0.95747685185185183</v>
      </c>
      <c r="C18">
        <v>108</v>
      </c>
      <c r="D18" s="3">
        <v>8.1199999999999992</v>
      </c>
      <c r="E18">
        <v>101</v>
      </c>
      <c r="F18" s="3">
        <v>10</v>
      </c>
      <c r="G18">
        <v>0</v>
      </c>
      <c r="AC18" s="6"/>
      <c r="AD18" s="6"/>
    </row>
    <row r="19" spans="1:30" x14ac:dyDescent="0.3">
      <c r="A19" s="1">
        <v>46000</v>
      </c>
      <c r="B19" s="2">
        <v>0.96442129629629625</v>
      </c>
      <c r="C19">
        <v>108</v>
      </c>
      <c r="D19" s="3">
        <v>8.11</v>
      </c>
      <c r="E19">
        <v>101</v>
      </c>
      <c r="F19" s="3">
        <v>10</v>
      </c>
      <c r="G19">
        <v>0</v>
      </c>
      <c r="AC19" s="6"/>
      <c r="AD19" s="6"/>
    </row>
    <row r="20" spans="1:30" x14ac:dyDescent="0.3">
      <c r="A20" s="1">
        <v>46000</v>
      </c>
      <c r="B20" s="2">
        <v>0.9783101851851852</v>
      </c>
      <c r="C20">
        <v>108</v>
      </c>
      <c r="D20" s="3">
        <v>8.11</v>
      </c>
      <c r="E20">
        <v>102</v>
      </c>
      <c r="F20" s="3">
        <v>10</v>
      </c>
      <c r="G20">
        <v>0</v>
      </c>
      <c r="AC20" s="6"/>
      <c r="AD20" s="6"/>
    </row>
    <row r="21" spans="1:30" x14ac:dyDescent="0.3">
      <c r="A21" s="1">
        <v>46000</v>
      </c>
      <c r="B21" s="2">
        <v>0.9943981481481482</v>
      </c>
      <c r="C21">
        <v>112</v>
      </c>
      <c r="D21" s="3">
        <v>8.6999999999999993</v>
      </c>
      <c r="E21">
        <v>104</v>
      </c>
      <c r="F21" s="3">
        <v>10</v>
      </c>
      <c r="G21">
        <v>0</v>
      </c>
      <c r="AC21" s="6"/>
      <c r="AD21" s="6"/>
    </row>
    <row r="22" spans="1:30" x14ac:dyDescent="0.3">
      <c r="A22" s="1">
        <v>46001</v>
      </c>
      <c r="B22" s="2">
        <v>1.5231481481481481E-2</v>
      </c>
      <c r="C22">
        <v>112</v>
      </c>
      <c r="D22" s="3">
        <v>8.39</v>
      </c>
      <c r="E22">
        <v>104</v>
      </c>
      <c r="F22" s="3">
        <v>10</v>
      </c>
      <c r="G22">
        <v>0</v>
      </c>
      <c r="AC22" s="6"/>
      <c r="AD22" s="6"/>
    </row>
    <row r="23" spans="1:30" x14ac:dyDescent="0.3">
      <c r="A23" s="1">
        <v>46001</v>
      </c>
      <c r="B23" s="2">
        <v>2.2175925925925925E-2</v>
      </c>
      <c r="C23">
        <v>112</v>
      </c>
      <c r="D23" s="3">
        <v>8.41</v>
      </c>
      <c r="E23">
        <v>105</v>
      </c>
      <c r="F23" s="3">
        <v>10</v>
      </c>
      <c r="G23">
        <v>0</v>
      </c>
      <c r="AC23" s="6"/>
      <c r="AD23" s="6"/>
    </row>
    <row r="24" spans="1:30" x14ac:dyDescent="0.3">
      <c r="A24" s="1">
        <v>46001</v>
      </c>
      <c r="B24" s="2">
        <v>3.6064814814814813E-2</v>
      </c>
      <c r="C24">
        <v>113</v>
      </c>
      <c r="D24" s="3">
        <v>8.42</v>
      </c>
      <c r="E24">
        <v>106</v>
      </c>
      <c r="F24" s="3">
        <v>10</v>
      </c>
      <c r="G24">
        <v>0</v>
      </c>
      <c r="AC24" s="6"/>
      <c r="AD24" s="6"/>
    </row>
    <row r="25" spans="1:30" x14ac:dyDescent="0.3">
      <c r="A25" s="1">
        <v>46001</v>
      </c>
      <c r="B25" s="2">
        <v>4.3009259259259261E-2</v>
      </c>
      <c r="C25">
        <v>113</v>
      </c>
      <c r="D25" s="3">
        <v>8.44</v>
      </c>
      <c r="E25">
        <v>105</v>
      </c>
      <c r="F25" s="3">
        <v>10</v>
      </c>
      <c r="G25">
        <v>0</v>
      </c>
      <c r="AC25" s="6"/>
      <c r="AD25" s="6"/>
    </row>
    <row r="26" spans="1:30" x14ac:dyDescent="0.3">
      <c r="A26" s="1">
        <v>46001</v>
      </c>
      <c r="B26" s="2">
        <v>4.9953703703703702E-2</v>
      </c>
      <c r="C26">
        <v>113</v>
      </c>
      <c r="D26" s="3">
        <v>8.42</v>
      </c>
      <c r="E26">
        <v>105</v>
      </c>
      <c r="F26" s="3">
        <v>10</v>
      </c>
      <c r="G26">
        <v>0</v>
      </c>
      <c r="AC26" s="6"/>
      <c r="AD26" s="6"/>
    </row>
    <row r="27" spans="1:30" x14ac:dyDescent="0.3">
      <c r="A27" s="1">
        <v>46001</v>
      </c>
      <c r="B27" s="2">
        <v>5.6898148148148149E-2</v>
      </c>
      <c r="C27">
        <v>113</v>
      </c>
      <c r="D27" s="3">
        <v>8.43</v>
      </c>
      <c r="E27">
        <v>105</v>
      </c>
      <c r="F27" s="3">
        <v>10</v>
      </c>
      <c r="G27">
        <v>0</v>
      </c>
      <c r="AC27" s="6"/>
      <c r="AD27" s="6"/>
    </row>
    <row r="28" spans="1:30" x14ac:dyDescent="0.3">
      <c r="A28" s="1">
        <v>46001</v>
      </c>
      <c r="B28" s="2">
        <v>8.4675925925925932E-2</v>
      </c>
      <c r="C28">
        <v>112</v>
      </c>
      <c r="D28" s="3">
        <v>8.4700000000000006</v>
      </c>
      <c r="E28">
        <v>105</v>
      </c>
      <c r="F28" s="3">
        <v>10</v>
      </c>
      <c r="G28">
        <v>0</v>
      </c>
      <c r="AC28" s="6"/>
      <c r="AD28" s="6"/>
    </row>
    <row r="29" spans="1:30" x14ac:dyDescent="0.3">
      <c r="A29" s="1">
        <v>46001</v>
      </c>
      <c r="B29" s="2">
        <v>0.10550925925925926</v>
      </c>
      <c r="C29">
        <v>113</v>
      </c>
      <c r="D29" s="3">
        <v>8.51</v>
      </c>
      <c r="E29">
        <v>105</v>
      </c>
      <c r="F29" s="3">
        <v>10</v>
      </c>
      <c r="G29">
        <v>0</v>
      </c>
      <c r="AC29" s="6"/>
      <c r="AD29" s="6"/>
    </row>
    <row r="30" spans="1:30" x14ac:dyDescent="0.3">
      <c r="A30" s="1">
        <v>46001</v>
      </c>
      <c r="B30" s="2">
        <v>0.11245370370370371</v>
      </c>
      <c r="C30">
        <v>113</v>
      </c>
      <c r="D30" s="3">
        <v>8.52</v>
      </c>
      <c r="E30">
        <v>106</v>
      </c>
      <c r="F30" s="3">
        <v>10</v>
      </c>
      <c r="G30">
        <v>0</v>
      </c>
      <c r="AC30" s="6"/>
      <c r="AD30" s="6"/>
    </row>
    <row r="31" spans="1:30" x14ac:dyDescent="0.3">
      <c r="A31" s="1">
        <v>46001</v>
      </c>
      <c r="B31" s="2">
        <v>0.11939814814814814</v>
      </c>
      <c r="C31">
        <v>113</v>
      </c>
      <c r="D31" s="3">
        <v>8.52</v>
      </c>
      <c r="E31">
        <v>106</v>
      </c>
      <c r="F31" s="3">
        <v>10</v>
      </c>
      <c r="G31">
        <v>0</v>
      </c>
      <c r="AC31" s="6"/>
      <c r="AD31" s="6"/>
    </row>
    <row r="32" spans="1:30" x14ac:dyDescent="0.3">
      <c r="A32" s="1">
        <v>46001</v>
      </c>
      <c r="B32" s="2">
        <v>0.12634259259259259</v>
      </c>
      <c r="C32">
        <v>113</v>
      </c>
      <c r="D32" s="3">
        <v>8.5299999999999994</v>
      </c>
      <c r="E32">
        <v>106</v>
      </c>
      <c r="F32" s="3">
        <v>10</v>
      </c>
      <c r="G32">
        <v>0</v>
      </c>
      <c r="AC32" s="6"/>
      <c r="AD32" s="6"/>
    </row>
    <row r="33" spans="1:30" x14ac:dyDescent="0.3">
      <c r="A33" s="1">
        <v>46001</v>
      </c>
      <c r="B33" s="2">
        <v>0.13328703703703704</v>
      </c>
      <c r="C33">
        <v>113</v>
      </c>
      <c r="D33" s="3">
        <v>8.5399999999999991</v>
      </c>
      <c r="E33">
        <v>106</v>
      </c>
      <c r="F33" s="3">
        <v>10</v>
      </c>
      <c r="G33">
        <v>0</v>
      </c>
      <c r="AC33" s="6"/>
      <c r="AD33" s="6"/>
    </row>
    <row r="34" spans="1:30" x14ac:dyDescent="0.3">
      <c r="A34" s="1">
        <v>46001</v>
      </c>
      <c r="B34" s="2">
        <v>0.14717592592592593</v>
      </c>
      <c r="C34">
        <v>113</v>
      </c>
      <c r="D34" s="3">
        <v>8.57</v>
      </c>
      <c r="E34">
        <v>106</v>
      </c>
      <c r="F34" s="3">
        <v>10</v>
      </c>
      <c r="G34">
        <v>0</v>
      </c>
      <c r="AC34" s="6"/>
      <c r="AD34" s="6"/>
    </row>
    <row r="35" spans="1:30" x14ac:dyDescent="0.3">
      <c r="A35" s="1">
        <v>46001</v>
      </c>
      <c r="B35" s="2">
        <v>0.16106481481481483</v>
      </c>
      <c r="C35">
        <v>113</v>
      </c>
      <c r="D35" s="3">
        <v>8.6</v>
      </c>
      <c r="E35">
        <v>106</v>
      </c>
      <c r="F35" s="3">
        <v>10</v>
      </c>
      <c r="G35">
        <v>0</v>
      </c>
      <c r="AC35" s="6"/>
      <c r="AD35" s="6"/>
    </row>
    <row r="36" spans="1:30" x14ac:dyDescent="0.3">
      <c r="A36" s="1">
        <v>46001</v>
      </c>
      <c r="B36" s="2">
        <v>0.17495370370370369</v>
      </c>
      <c r="C36">
        <v>114</v>
      </c>
      <c r="D36" s="3">
        <v>8.67</v>
      </c>
      <c r="E36">
        <v>106</v>
      </c>
      <c r="F36" s="3">
        <v>10</v>
      </c>
      <c r="G36">
        <v>0</v>
      </c>
      <c r="J36" s="4"/>
      <c r="AC36" s="6"/>
      <c r="AD36" s="6"/>
    </row>
    <row r="37" spans="1:30" x14ac:dyDescent="0.3">
      <c r="A37" s="1">
        <v>46001</v>
      </c>
      <c r="B37" s="2">
        <v>0.18884259259259259</v>
      </c>
      <c r="C37">
        <v>114</v>
      </c>
      <c r="D37" s="3">
        <v>8.69</v>
      </c>
      <c r="E37">
        <v>105</v>
      </c>
      <c r="F37" s="3">
        <v>10</v>
      </c>
      <c r="G37">
        <v>0</v>
      </c>
      <c r="AC37" s="6"/>
      <c r="AD37" s="6"/>
    </row>
    <row r="38" spans="1:30" x14ac:dyDescent="0.3">
      <c r="A38" s="1">
        <v>46001</v>
      </c>
      <c r="B38" s="2">
        <v>0.20273148148148148</v>
      </c>
      <c r="C38">
        <v>113</v>
      </c>
      <c r="D38" s="3">
        <v>8.76</v>
      </c>
      <c r="E38">
        <v>105</v>
      </c>
      <c r="F38" s="3">
        <v>10</v>
      </c>
      <c r="G38">
        <v>0</v>
      </c>
      <c r="AC38" s="6"/>
      <c r="AD38" s="6"/>
    </row>
    <row r="39" spans="1:30" x14ac:dyDescent="0.3">
      <c r="A39" s="1">
        <v>46001</v>
      </c>
      <c r="B39" s="2">
        <v>0.20967592592592593</v>
      </c>
      <c r="C39">
        <v>113</v>
      </c>
      <c r="D39" s="3">
        <v>8.77</v>
      </c>
      <c r="E39">
        <v>105</v>
      </c>
      <c r="F39" s="3">
        <v>10</v>
      </c>
      <c r="G39">
        <v>0</v>
      </c>
      <c r="AC39" s="6"/>
      <c r="AD39" s="6"/>
    </row>
    <row r="40" spans="1:30" x14ac:dyDescent="0.3">
      <c r="A40" s="1">
        <v>46001</v>
      </c>
      <c r="B40" s="2">
        <v>0.21662037037037038</v>
      </c>
      <c r="C40">
        <v>113</v>
      </c>
      <c r="D40" s="3">
        <v>8.81</v>
      </c>
      <c r="E40">
        <v>104</v>
      </c>
      <c r="F40" s="3">
        <v>10</v>
      </c>
      <c r="G40">
        <v>0</v>
      </c>
      <c r="AC40" s="6"/>
      <c r="AD40" s="6"/>
    </row>
    <row r="41" spans="1:30" x14ac:dyDescent="0.3">
      <c r="A41" s="1">
        <v>46001</v>
      </c>
      <c r="B41" s="2">
        <v>0.22356481481481483</v>
      </c>
      <c r="C41">
        <v>112</v>
      </c>
      <c r="D41" s="3">
        <v>8.83</v>
      </c>
      <c r="E41">
        <v>104</v>
      </c>
      <c r="F41" s="3">
        <v>10</v>
      </c>
      <c r="G41">
        <v>0</v>
      </c>
      <c r="AC41" s="6"/>
      <c r="AD41" s="6"/>
    </row>
    <row r="42" spans="1:30" x14ac:dyDescent="0.3">
      <c r="A42" s="1">
        <v>46001</v>
      </c>
      <c r="B42" s="2">
        <v>0.23050925925925925</v>
      </c>
      <c r="C42">
        <v>112</v>
      </c>
      <c r="D42" s="3">
        <v>8.89</v>
      </c>
      <c r="E42">
        <v>105</v>
      </c>
      <c r="F42" s="3">
        <v>10</v>
      </c>
      <c r="G42">
        <v>0</v>
      </c>
      <c r="AC42" s="6"/>
      <c r="AD42" s="6"/>
    </row>
    <row r="43" spans="1:30" x14ac:dyDescent="0.3">
      <c r="A43" s="1">
        <v>46001</v>
      </c>
      <c r="B43" s="2">
        <v>0.25134259259259262</v>
      </c>
      <c r="C43">
        <v>112</v>
      </c>
      <c r="D43" s="3">
        <v>8.99</v>
      </c>
      <c r="E43">
        <v>104</v>
      </c>
      <c r="F43" s="3">
        <v>10</v>
      </c>
      <c r="G43">
        <v>0</v>
      </c>
      <c r="AC43" s="6"/>
      <c r="AD43" s="6"/>
    </row>
    <row r="44" spans="1:30" x14ac:dyDescent="0.3">
      <c r="A44" s="1">
        <v>46001</v>
      </c>
      <c r="B44" s="2">
        <v>0.25828703703703704</v>
      </c>
      <c r="C44">
        <v>112</v>
      </c>
      <c r="D44" s="3">
        <v>9.02</v>
      </c>
      <c r="E44">
        <v>104</v>
      </c>
      <c r="F44" s="3">
        <v>10</v>
      </c>
      <c r="G44">
        <v>0</v>
      </c>
      <c r="AC44" s="6"/>
      <c r="AD44" s="6"/>
    </row>
    <row r="45" spans="1:30" x14ac:dyDescent="0.3">
      <c r="A45" s="1">
        <v>46001</v>
      </c>
      <c r="B45" s="2">
        <v>0.28606481481481483</v>
      </c>
      <c r="C45">
        <v>112</v>
      </c>
      <c r="D45" s="3">
        <v>9.23</v>
      </c>
      <c r="E45">
        <v>105</v>
      </c>
      <c r="F45" s="3">
        <v>10</v>
      </c>
      <c r="G45">
        <v>0</v>
      </c>
      <c r="AC45" s="6"/>
      <c r="AD45" s="6"/>
    </row>
    <row r="46" spans="1:30" x14ac:dyDescent="0.3">
      <c r="A46" s="1">
        <v>46001</v>
      </c>
      <c r="B46" s="2">
        <v>0.29300925925925925</v>
      </c>
      <c r="C46">
        <v>112</v>
      </c>
      <c r="D46" s="3">
        <v>9.2899999999999991</v>
      </c>
      <c r="E46">
        <v>105</v>
      </c>
      <c r="F46" s="3">
        <v>10</v>
      </c>
      <c r="G46">
        <v>0</v>
      </c>
      <c r="AC46" s="6"/>
      <c r="AD46" s="6"/>
    </row>
    <row r="47" spans="1:30" x14ac:dyDescent="0.3">
      <c r="A47" s="1">
        <v>46001</v>
      </c>
      <c r="B47" s="2">
        <v>0.31384259259259262</v>
      </c>
      <c r="C47">
        <v>111</v>
      </c>
      <c r="D47" s="3">
        <v>9.41</v>
      </c>
      <c r="E47">
        <v>104</v>
      </c>
      <c r="F47" s="3">
        <v>10</v>
      </c>
      <c r="G47">
        <v>0</v>
      </c>
      <c r="AC47" s="6"/>
      <c r="AD47" s="6"/>
    </row>
    <row r="48" spans="1:30" x14ac:dyDescent="0.3">
      <c r="A48" s="1">
        <v>46001</v>
      </c>
      <c r="B48" s="2">
        <v>0.32773148148148146</v>
      </c>
      <c r="C48">
        <v>110</v>
      </c>
      <c r="D48" s="3">
        <v>9.5</v>
      </c>
      <c r="E48">
        <v>103</v>
      </c>
      <c r="F48" s="3">
        <v>10</v>
      </c>
      <c r="G48">
        <v>0</v>
      </c>
      <c r="AC48" s="6"/>
      <c r="AD48" s="6"/>
    </row>
    <row r="49" spans="1:30" x14ac:dyDescent="0.3">
      <c r="A49" s="1">
        <v>46001</v>
      </c>
      <c r="B49" s="2">
        <v>0.33467592592592593</v>
      </c>
      <c r="C49">
        <v>110</v>
      </c>
      <c r="D49" s="3">
        <v>9.5299999999999994</v>
      </c>
      <c r="E49">
        <v>103</v>
      </c>
      <c r="F49" s="3">
        <v>10</v>
      </c>
      <c r="G49">
        <v>1</v>
      </c>
      <c r="AC49" s="6"/>
      <c r="AD49" s="6"/>
    </row>
    <row r="50" spans="1:30" x14ac:dyDescent="0.3">
      <c r="A50" s="1">
        <v>46001</v>
      </c>
      <c r="B50" s="2">
        <v>0.34162037037037035</v>
      </c>
      <c r="C50">
        <v>109</v>
      </c>
      <c r="D50" s="3">
        <v>9.57</v>
      </c>
      <c r="E50">
        <v>103</v>
      </c>
      <c r="F50" s="3">
        <v>10</v>
      </c>
      <c r="G50">
        <v>1</v>
      </c>
      <c r="AC50" s="6"/>
      <c r="AD50" s="6"/>
    </row>
    <row r="51" spans="1:30" x14ac:dyDescent="0.3">
      <c r="A51" s="1">
        <v>46001</v>
      </c>
      <c r="B51" s="2">
        <v>0.35550925925925925</v>
      </c>
      <c r="C51">
        <v>109</v>
      </c>
      <c r="D51" s="3">
        <v>9.64</v>
      </c>
      <c r="E51">
        <v>102</v>
      </c>
      <c r="F51" s="3">
        <v>10</v>
      </c>
      <c r="G51">
        <v>38</v>
      </c>
      <c r="AC51" s="6"/>
      <c r="AD51" s="6"/>
    </row>
    <row r="52" spans="1:30" x14ac:dyDescent="0.3">
      <c r="A52" s="1">
        <v>46001</v>
      </c>
      <c r="B52" s="2">
        <v>0.36939814814814814</v>
      </c>
      <c r="C52">
        <v>109</v>
      </c>
      <c r="D52" s="3">
        <v>9.7100000000000009</v>
      </c>
      <c r="E52">
        <v>103</v>
      </c>
      <c r="F52" s="3">
        <v>10</v>
      </c>
      <c r="G52">
        <v>69</v>
      </c>
      <c r="AC52" s="6"/>
      <c r="AD52" s="6"/>
    </row>
    <row r="53" spans="1:30" x14ac:dyDescent="0.3">
      <c r="A53" s="1">
        <v>46001</v>
      </c>
      <c r="B53" s="2">
        <v>0.37634259259259262</v>
      </c>
      <c r="C53">
        <v>108</v>
      </c>
      <c r="D53" s="3">
        <v>9.74</v>
      </c>
      <c r="E53">
        <v>103</v>
      </c>
      <c r="F53" s="3">
        <v>10</v>
      </c>
      <c r="G53">
        <v>78</v>
      </c>
      <c r="AC53" s="6"/>
      <c r="AD53" s="6"/>
    </row>
    <row r="54" spans="1:30" x14ac:dyDescent="0.3">
      <c r="A54" s="1">
        <v>46001</v>
      </c>
      <c r="B54" s="2">
        <v>0.40412037037037035</v>
      </c>
      <c r="C54">
        <v>108</v>
      </c>
      <c r="D54" s="3">
        <v>9.82</v>
      </c>
      <c r="E54">
        <v>102</v>
      </c>
      <c r="F54" s="3">
        <v>10</v>
      </c>
      <c r="G54">
        <v>103</v>
      </c>
      <c r="AC54" s="6"/>
      <c r="AD54" s="6"/>
    </row>
    <row r="55" spans="1:30" x14ac:dyDescent="0.3">
      <c r="A55" s="1">
        <v>46001</v>
      </c>
      <c r="B55" s="2">
        <v>0.41106481481481483</v>
      </c>
      <c r="C55">
        <v>108</v>
      </c>
      <c r="D55" s="3">
        <v>9.84</v>
      </c>
      <c r="E55">
        <v>102</v>
      </c>
      <c r="F55" s="3">
        <v>10</v>
      </c>
      <c r="G55">
        <v>146</v>
      </c>
      <c r="AC55" s="6"/>
      <c r="AD55" s="6"/>
    </row>
    <row r="56" spans="1:30" x14ac:dyDescent="0.3">
      <c r="A56" s="1">
        <v>46001</v>
      </c>
      <c r="B56" s="2">
        <v>0.42495370370370372</v>
      </c>
      <c r="C56">
        <v>108</v>
      </c>
      <c r="D56" s="3">
        <v>9.8699999999999992</v>
      </c>
      <c r="E56">
        <v>103</v>
      </c>
      <c r="F56" s="3">
        <v>10</v>
      </c>
      <c r="G56">
        <v>7</v>
      </c>
      <c r="AC56" s="6"/>
      <c r="AD56" s="6"/>
    </row>
    <row r="57" spans="1:30" x14ac:dyDescent="0.3">
      <c r="A57" s="1">
        <v>46001</v>
      </c>
      <c r="B57" s="2">
        <v>0.43884259259259262</v>
      </c>
      <c r="C57">
        <v>108</v>
      </c>
      <c r="D57" s="3">
        <v>9.89</v>
      </c>
      <c r="E57">
        <v>103</v>
      </c>
      <c r="F57" s="3">
        <v>10</v>
      </c>
      <c r="G57">
        <v>153</v>
      </c>
      <c r="AC57" s="6"/>
      <c r="AD57" s="6"/>
    </row>
    <row r="58" spans="1:30" x14ac:dyDescent="0.3">
      <c r="A58" s="1">
        <v>46001</v>
      </c>
      <c r="B58" s="2">
        <v>0.45273148148148146</v>
      </c>
      <c r="C58">
        <v>108</v>
      </c>
      <c r="D58" s="3">
        <v>9.91</v>
      </c>
      <c r="E58">
        <v>102</v>
      </c>
      <c r="F58" s="3">
        <v>10</v>
      </c>
      <c r="G58">
        <v>138</v>
      </c>
      <c r="AC58" s="6"/>
      <c r="AD58" s="6"/>
    </row>
    <row r="59" spans="1:30" x14ac:dyDescent="0.3">
      <c r="A59" s="1">
        <v>46001</v>
      </c>
      <c r="B59" s="2">
        <v>0.45967592592592593</v>
      </c>
      <c r="C59">
        <v>107</v>
      </c>
      <c r="D59" s="3">
        <v>9.92</v>
      </c>
      <c r="E59">
        <v>102</v>
      </c>
      <c r="F59" s="3">
        <v>10</v>
      </c>
      <c r="G59">
        <v>175</v>
      </c>
      <c r="AC59" s="6"/>
      <c r="AD59" s="6"/>
    </row>
    <row r="60" spans="1:30" x14ac:dyDescent="0.3">
      <c r="A60" s="1">
        <v>46001</v>
      </c>
      <c r="B60" s="2">
        <v>0.47218749999999998</v>
      </c>
      <c r="C60">
        <v>112</v>
      </c>
      <c r="D60" s="3">
        <v>9.69</v>
      </c>
      <c r="E60">
        <v>107</v>
      </c>
      <c r="F60" s="3">
        <v>10</v>
      </c>
      <c r="G60">
        <v>182</v>
      </c>
      <c r="AC60" s="6"/>
      <c r="AD60" s="6"/>
    </row>
    <row r="61" spans="1:30" x14ac:dyDescent="0.3">
      <c r="A61" s="1">
        <v>46001</v>
      </c>
      <c r="B61" s="2">
        <v>0.47913194444444446</v>
      </c>
      <c r="C61">
        <v>113</v>
      </c>
      <c r="D61" s="3">
        <v>9.3699999999999992</v>
      </c>
      <c r="E61">
        <v>104</v>
      </c>
      <c r="F61" s="3">
        <v>10</v>
      </c>
      <c r="G61">
        <v>197</v>
      </c>
      <c r="AC61" s="6"/>
      <c r="AD61" s="6"/>
    </row>
    <row r="62" spans="1:30" x14ac:dyDescent="0.3">
      <c r="A62" s="1">
        <v>46001</v>
      </c>
      <c r="B62" s="2">
        <v>0.48607638888888888</v>
      </c>
      <c r="C62">
        <v>111</v>
      </c>
      <c r="D62" s="3">
        <v>9.18</v>
      </c>
      <c r="E62">
        <v>105</v>
      </c>
      <c r="F62" s="3">
        <v>10</v>
      </c>
      <c r="G62">
        <v>225</v>
      </c>
      <c r="J62" s="4"/>
      <c r="AC62" s="6"/>
      <c r="AD62" s="6"/>
    </row>
    <row r="63" spans="1:30" x14ac:dyDescent="0.3">
      <c r="A63" s="1">
        <v>46001</v>
      </c>
      <c r="B63" s="2">
        <v>0.49302083333333335</v>
      </c>
      <c r="C63">
        <v>110</v>
      </c>
      <c r="D63" s="3">
        <v>9.0299999999999994</v>
      </c>
      <c r="E63">
        <v>105</v>
      </c>
      <c r="F63" s="3">
        <v>10</v>
      </c>
      <c r="G63">
        <v>203</v>
      </c>
      <c r="AC63" s="6"/>
      <c r="AD63" s="6"/>
    </row>
    <row r="64" spans="1:30" x14ac:dyDescent="0.3">
      <c r="A64" s="1">
        <v>46001</v>
      </c>
      <c r="B64" s="2">
        <v>0.49996527777777777</v>
      </c>
      <c r="C64">
        <v>110</v>
      </c>
      <c r="D64" s="3">
        <v>8.93</v>
      </c>
      <c r="E64">
        <v>105</v>
      </c>
      <c r="F64" s="3">
        <v>10</v>
      </c>
      <c r="G64">
        <v>207</v>
      </c>
    </row>
    <row r="65" spans="1:7" x14ac:dyDescent="0.3">
      <c r="A65" s="1">
        <v>46001</v>
      </c>
      <c r="B65" s="2">
        <v>0.52079861111111114</v>
      </c>
      <c r="C65">
        <v>110</v>
      </c>
      <c r="D65" s="3">
        <v>8.74</v>
      </c>
      <c r="E65">
        <v>104</v>
      </c>
      <c r="F65" s="3">
        <v>10</v>
      </c>
      <c r="G65">
        <v>208</v>
      </c>
    </row>
    <row r="66" spans="1:7" x14ac:dyDescent="0.3">
      <c r="A66" s="1">
        <v>46001</v>
      </c>
      <c r="B66" s="2">
        <v>0.56246527777777777</v>
      </c>
      <c r="C66">
        <v>108</v>
      </c>
      <c r="D66" s="3">
        <v>8.6</v>
      </c>
      <c r="E66">
        <v>102</v>
      </c>
      <c r="F66" s="3">
        <v>10</v>
      </c>
      <c r="G66">
        <v>172</v>
      </c>
    </row>
    <row r="67" spans="1:7" x14ac:dyDescent="0.3">
      <c r="A67" s="1">
        <v>46001</v>
      </c>
      <c r="B67" s="2">
        <v>0.57635416666666661</v>
      </c>
      <c r="C67">
        <v>107</v>
      </c>
      <c r="D67" s="3">
        <v>8.58</v>
      </c>
      <c r="E67">
        <v>101</v>
      </c>
      <c r="F67" s="3">
        <v>10</v>
      </c>
      <c r="G67">
        <v>165</v>
      </c>
    </row>
    <row r="68" spans="1:7" x14ac:dyDescent="0.3">
      <c r="A68" s="1">
        <v>46001</v>
      </c>
      <c r="B68" s="2">
        <v>0.58329861111111114</v>
      </c>
      <c r="C68">
        <v>107</v>
      </c>
      <c r="D68" s="3">
        <v>8.56</v>
      </c>
      <c r="E68">
        <v>101</v>
      </c>
      <c r="F68" s="3">
        <v>10</v>
      </c>
      <c r="G68">
        <v>156</v>
      </c>
    </row>
    <row r="69" spans="1:7" x14ac:dyDescent="0.3">
      <c r="A69" s="1">
        <v>46001</v>
      </c>
      <c r="B69" s="2">
        <v>0.59718749999999998</v>
      </c>
      <c r="C69">
        <v>106</v>
      </c>
      <c r="D69" s="3">
        <v>8.58</v>
      </c>
      <c r="E69">
        <v>101</v>
      </c>
      <c r="F69" s="3">
        <v>10</v>
      </c>
      <c r="G69">
        <v>150</v>
      </c>
    </row>
    <row r="70" spans="1:7" x14ac:dyDescent="0.3">
      <c r="A70" s="1">
        <v>46001</v>
      </c>
      <c r="B70" s="2">
        <v>0.6041319444444444</v>
      </c>
      <c r="C70">
        <v>106</v>
      </c>
      <c r="D70" s="3">
        <v>8.58</v>
      </c>
      <c r="E70">
        <v>100</v>
      </c>
      <c r="F70" s="3">
        <v>10</v>
      </c>
      <c r="G70">
        <v>118</v>
      </c>
    </row>
    <row r="71" spans="1:7" x14ac:dyDescent="0.3">
      <c r="A71" s="1">
        <v>46001</v>
      </c>
      <c r="B71" s="2">
        <v>0.61107638888888893</v>
      </c>
      <c r="C71">
        <v>105</v>
      </c>
      <c r="D71" s="3">
        <v>8.5500000000000007</v>
      </c>
      <c r="E71">
        <v>98</v>
      </c>
      <c r="F71" s="3">
        <v>10</v>
      </c>
      <c r="G71">
        <v>124</v>
      </c>
    </row>
    <row r="72" spans="1:7" x14ac:dyDescent="0.3">
      <c r="A72" s="1">
        <v>46001</v>
      </c>
      <c r="B72" s="2">
        <v>0.61802083333333335</v>
      </c>
      <c r="C72">
        <v>105</v>
      </c>
      <c r="D72" s="3">
        <v>8.5399999999999991</v>
      </c>
      <c r="E72">
        <v>98</v>
      </c>
      <c r="F72" s="3">
        <v>10</v>
      </c>
      <c r="G72">
        <v>121</v>
      </c>
    </row>
    <row r="73" spans="1:7" x14ac:dyDescent="0.3">
      <c r="A73" s="1">
        <v>46001</v>
      </c>
      <c r="B73" s="2">
        <v>0.63190972222222219</v>
      </c>
      <c r="C73">
        <v>104</v>
      </c>
      <c r="D73" s="3">
        <v>8.5500000000000007</v>
      </c>
      <c r="E73">
        <v>99</v>
      </c>
      <c r="F73" s="3">
        <v>10</v>
      </c>
      <c r="G73">
        <v>81</v>
      </c>
    </row>
    <row r="74" spans="1:7" x14ac:dyDescent="0.3">
      <c r="A74" s="1">
        <v>46001</v>
      </c>
      <c r="B74" s="2">
        <v>0.65274305555555556</v>
      </c>
      <c r="C74">
        <v>103</v>
      </c>
      <c r="D74" s="3">
        <v>8.5399999999999991</v>
      </c>
      <c r="E74">
        <v>96</v>
      </c>
      <c r="F74" s="3">
        <v>10</v>
      </c>
      <c r="G74">
        <v>30</v>
      </c>
    </row>
    <row r="75" spans="1:7" x14ac:dyDescent="0.3">
      <c r="A75" s="1">
        <v>46001</v>
      </c>
      <c r="B75" s="2">
        <v>0.65968749999999998</v>
      </c>
      <c r="C75">
        <v>102</v>
      </c>
      <c r="D75" s="3">
        <v>8.5399999999999991</v>
      </c>
      <c r="E75">
        <v>96</v>
      </c>
      <c r="F75" s="3">
        <v>10</v>
      </c>
      <c r="G75">
        <v>17</v>
      </c>
    </row>
    <row r="76" spans="1:7" x14ac:dyDescent="0.3">
      <c r="A76" s="1">
        <v>46001</v>
      </c>
      <c r="B76" s="2">
        <v>0.6666319444444444</v>
      </c>
      <c r="C76">
        <v>102</v>
      </c>
      <c r="D76" s="3">
        <v>8.5500000000000007</v>
      </c>
      <c r="E76">
        <v>96</v>
      </c>
      <c r="F76" s="3">
        <v>10</v>
      </c>
      <c r="G76">
        <v>6</v>
      </c>
    </row>
    <row r="77" spans="1:7" x14ac:dyDescent="0.3">
      <c r="A77" s="1">
        <v>46001</v>
      </c>
      <c r="B77" s="2">
        <v>0.68746527777777777</v>
      </c>
      <c r="C77">
        <v>101</v>
      </c>
      <c r="D77" s="3">
        <v>8.57</v>
      </c>
      <c r="E77">
        <v>96</v>
      </c>
      <c r="F77" s="3">
        <v>10</v>
      </c>
      <c r="G77">
        <v>0</v>
      </c>
    </row>
    <row r="78" spans="1:7" x14ac:dyDescent="0.3">
      <c r="A78" s="1">
        <v>46001</v>
      </c>
      <c r="B78" s="2">
        <v>0.70135416666666661</v>
      </c>
      <c r="C78">
        <v>101</v>
      </c>
      <c r="D78" s="3">
        <v>8.59</v>
      </c>
      <c r="E78">
        <v>96</v>
      </c>
      <c r="F78" s="3">
        <v>10</v>
      </c>
      <c r="G78">
        <v>0</v>
      </c>
    </row>
    <row r="79" spans="1:7" x14ac:dyDescent="0.3">
      <c r="A79" s="1">
        <v>46001</v>
      </c>
      <c r="B79" s="2">
        <v>0.70829861111111114</v>
      </c>
      <c r="C79">
        <v>101</v>
      </c>
      <c r="D79" s="3">
        <v>8.6</v>
      </c>
      <c r="E79">
        <v>96</v>
      </c>
      <c r="F79" s="3">
        <v>10</v>
      </c>
      <c r="G79">
        <v>0</v>
      </c>
    </row>
    <row r="80" spans="1:7" x14ac:dyDescent="0.3">
      <c r="A80" s="1">
        <v>46001</v>
      </c>
      <c r="B80" s="2">
        <v>0.72218749999999998</v>
      </c>
      <c r="C80">
        <v>101</v>
      </c>
      <c r="D80" s="3">
        <v>8.6199999999999992</v>
      </c>
      <c r="E80">
        <v>96</v>
      </c>
      <c r="F80" s="3">
        <v>10</v>
      </c>
      <c r="G80">
        <v>0</v>
      </c>
    </row>
    <row r="81" spans="1:7" x14ac:dyDescent="0.3">
      <c r="A81" s="1">
        <v>46001</v>
      </c>
      <c r="B81" s="2">
        <v>0.7291319444444444</v>
      </c>
      <c r="C81">
        <v>101</v>
      </c>
      <c r="D81" s="3">
        <v>8.6300000000000008</v>
      </c>
      <c r="E81">
        <v>97</v>
      </c>
      <c r="F81" s="3">
        <v>10</v>
      </c>
      <c r="G81">
        <v>0</v>
      </c>
    </row>
    <row r="82" spans="1:7" x14ac:dyDescent="0.3">
      <c r="A82" s="1">
        <v>46001</v>
      </c>
      <c r="B82" s="2">
        <v>0.76385416666666661</v>
      </c>
      <c r="C82">
        <v>102</v>
      </c>
      <c r="D82" s="3">
        <v>8.73</v>
      </c>
      <c r="E82">
        <v>100</v>
      </c>
      <c r="F82" s="3">
        <v>9.89</v>
      </c>
      <c r="G82">
        <v>0</v>
      </c>
    </row>
    <row r="83" spans="1:7" x14ac:dyDescent="0.3">
      <c r="A83" s="1">
        <v>46001</v>
      </c>
      <c r="B83" s="2">
        <v>0.78468749999999998</v>
      </c>
      <c r="C83">
        <v>104</v>
      </c>
      <c r="D83" s="3">
        <v>8.75</v>
      </c>
      <c r="E83">
        <v>100</v>
      </c>
      <c r="F83" s="3">
        <v>10</v>
      </c>
      <c r="G83">
        <v>0</v>
      </c>
    </row>
    <row r="84" spans="1:7" x14ac:dyDescent="0.3">
      <c r="A84" s="1">
        <v>46001</v>
      </c>
      <c r="B84" s="2">
        <v>0.7916319444444444</v>
      </c>
      <c r="C84">
        <v>104</v>
      </c>
      <c r="D84" s="3">
        <v>8.76</v>
      </c>
      <c r="E84">
        <v>100</v>
      </c>
      <c r="F84" s="3">
        <v>9.9700000000000006</v>
      </c>
      <c r="G84">
        <v>0</v>
      </c>
    </row>
    <row r="85" spans="1:7" x14ac:dyDescent="0.3">
      <c r="A85" s="1">
        <v>46001</v>
      </c>
      <c r="B85" s="2">
        <v>0.80552083333333335</v>
      </c>
      <c r="C85">
        <v>104</v>
      </c>
      <c r="D85" s="3">
        <v>8.77</v>
      </c>
      <c r="E85">
        <v>101</v>
      </c>
      <c r="F85" s="3">
        <v>9.91</v>
      </c>
      <c r="G85">
        <v>0</v>
      </c>
    </row>
    <row r="86" spans="1:7" x14ac:dyDescent="0.3">
      <c r="A86" s="1">
        <v>46001</v>
      </c>
      <c r="B86" s="2">
        <v>0.81246527777777777</v>
      </c>
      <c r="C86">
        <v>105</v>
      </c>
      <c r="D86" s="3">
        <v>8.7799999999999994</v>
      </c>
      <c r="E86">
        <v>101</v>
      </c>
      <c r="F86" s="3">
        <v>9.8800000000000008</v>
      </c>
      <c r="G86">
        <v>0</v>
      </c>
    </row>
    <row r="87" spans="1:7" x14ac:dyDescent="0.3">
      <c r="A87" s="1">
        <v>46001</v>
      </c>
      <c r="B87" s="2">
        <v>0.82635416666666661</v>
      </c>
      <c r="C87">
        <v>104</v>
      </c>
      <c r="D87" s="3">
        <v>8.77</v>
      </c>
      <c r="E87">
        <v>100</v>
      </c>
      <c r="F87" s="3">
        <v>9.9700000000000006</v>
      </c>
      <c r="G87">
        <v>0</v>
      </c>
    </row>
    <row r="88" spans="1:7" x14ac:dyDescent="0.3">
      <c r="A88" s="1">
        <v>46001</v>
      </c>
      <c r="B88" s="2">
        <v>0.83329861111111114</v>
      </c>
      <c r="C88">
        <v>104</v>
      </c>
      <c r="D88" s="3">
        <v>8.8000000000000007</v>
      </c>
      <c r="E88">
        <v>100</v>
      </c>
      <c r="F88" s="3">
        <v>9.98</v>
      </c>
      <c r="G88">
        <v>0</v>
      </c>
    </row>
    <row r="89" spans="1:7" x14ac:dyDescent="0.3">
      <c r="A89" s="1">
        <v>46001</v>
      </c>
      <c r="B89" s="2">
        <v>0.84718749999999998</v>
      </c>
      <c r="C89">
        <v>104</v>
      </c>
      <c r="D89" s="3">
        <v>8.81</v>
      </c>
      <c r="E89">
        <v>101</v>
      </c>
      <c r="F89" s="3">
        <v>9.99</v>
      </c>
      <c r="G89">
        <v>0</v>
      </c>
    </row>
    <row r="90" spans="1:7" x14ac:dyDescent="0.3">
      <c r="A90" s="1">
        <v>46001</v>
      </c>
      <c r="B90" s="2">
        <v>0.8541319444444444</v>
      </c>
      <c r="C90">
        <v>105</v>
      </c>
      <c r="D90" s="3">
        <v>8.84</v>
      </c>
      <c r="E90">
        <v>102</v>
      </c>
      <c r="F90" s="3">
        <v>9.93</v>
      </c>
      <c r="G90">
        <v>0</v>
      </c>
    </row>
    <row r="91" spans="1:7" x14ac:dyDescent="0.3">
      <c r="A91" s="1">
        <v>46001</v>
      </c>
      <c r="B91" s="2">
        <v>0.86107638888888893</v>
      </c>
      <c r="C91">
        <v>105</v>
      </c>
      <c r="D91" s="3">
        <v>8.84</v>
      </c>
      <c r="E91">
        <v>101</v>
      </c>
      <c r="F91" s="3">
        <v>9.93</v>
      </c>
      <c r="G91">
        <v>0</v>
      </c>
    </row>
    <row r="92" spans="1:7" x14ac:dyDescent="0.3">
      <c r="A92" s="1">
        <v>46001</v>
      </c>
      <c r="B92" s="2">
        <v>0.86802083333333335</v>
      </c>
      <c r="C92">
        <v>105</v>
      </c>
      <c r="D92" s="3">
        <v>8.86</v>
      </c>
      <c r="E92">
        <v>102</v>
      </c>
      <c r="F92" s="3">
        <v>9.86</v>
      </c>
      <c r="G92">
        <v>0</v>
      </c>
    </row>
    <row r="93" spans="1:7" x14ac:dyDescent="0.3">
      <c r="A93" s="1">
        <v>46001</v>
      </c>
      <c r="B93" s="2">
        <v>0.87496527777777777</v>
      </c>
      <c r="C93">
        <v>106</v>
      </c>
      <c r="D93" s="3">
        <v>8.8800000000000008</v>
      </c>
      <c r="E93">
        <v>102</v>
      </c>
      <c r="F93" s="3">
        <v>9.85</v>
      </c>
      <c r="G93">
        <v>0</v>
      </c>
    </row>
    <row r="94" spans="1:7" x14ac:dyDescent="0.3">
      <c r="A94" s="1">
        <v>46001</v>
      </c>
      <c r="B94" s="2">
        <v>0.88885416666666661</v>
      </c>
      <c r="C94">
        <v>105</v>
      </c>
      <c r="D94" s="3">
        <v>8.85</v>
      </c>
      <c r="E94">
        <v>100</v>
      </c>
      <c r="F94" s="3">
        <v>9.8800000000000008</v>
      </c>
      <c r="G94">
        <v>0</v>
      </c>
    </row>
    <row r="95" spans="1:7" x14ac:dyDescent="0.3">
      <c r="A95" s="1">
        <v>46001</v>
      </c>
      <c r="B95" s="2">
        <v>0.9166319444444444</v>
      </c>
      <c r="C95">
        <v>104</v>
      </c>
      <c r="D95" s="3">
        <v>8.89</v>
      </c>
      <c r="E95">
        <v>100</v>
      </c>
      <c r="F95" s="3">
        <v>9.85</v>
      </c>
      <c r="G95">
        <v>0</v>
      </c>
    </row>
    <row r="96" spans="1:7" x14ac:dyDescent="0.3">
      <c r="A96" s="1">
        <v>46001</v>
      </c>
      <c r="B96" s="2">
        <v>0.93099537037037039</v>
      </c>
      <c r="C96">
        <v>106</v>
      </c>
      <c r="D96" s="3">
        <v>9.68</v>
      </c>
      <c r="E96">
        <v>103</v>
      </c>
      <c r="F96" s="3">
        <v>9.8800000000000008</v>
      </c>
      <c r="G96">
        <v>0</v>
      </c>
    </row>
    <row r="97" spans="1:7" x14ac:dyDescent="0.3">
      <c r="A97" s="1">
        <v>46001</v>
      </c>
      <c r="B97" s="2">
        <v>0.93099537037037039</v>
      </c>
      <c r="C97">
        <v>98</v>
      </c>
      <c r="D97" s="3">
        <v>9.34</v>
      </c>
      <c r="E97">
        <v>92</v>
      </c>
      <c r="F97" s="3">
        <v>10</v>
      </c>
      <c r="G97">
        <v>93</v>
      </c>
    </row>
    <row r="98" spans="1:7" x14ac:dyDescent="0.3">
      <c r="A98" s="1">
        <v>46001</v>
      </c>
      <c r="B98" s="2">
        <v>0.94487268518518519</v>
      </c>
      <c r="C98">
        <v>106</v>
      </c>
      <c r="D98" s="3">
        <v>8.9600000000000009</v>
      </c>
      <c r="E98">
        <v>99</v>
      </c>
      <c r="F98" s="3">
        <v>9.8699999999999992</v>
      </c>
      <c r="G98">
        <v>0</v>
      </c>
    </row>
    <row r="99" spans="1:7" x14ac:dyDescent="0.3">
      <c r="A99" s="1">
        <v>46001</v>
      </c>
      <c r="B99" s="2">
        <v>0.95181712962962961</v>
      </c>
      <c r="C99">
        <v>104</v>
      </c>
      <c r="D99" s="3">
        <v>8.93</v>
      </c>
      <c r="E99">
        <v>99</v>
      </c>
      <c r="F99" s="3">
        <v>9.77</v>
      </c>
      <c r="G99">
        <v>0</v>
      </c>
    </row>
    <row r="100" spans="1:7" x14ac:dyDescent="0.3">
      <c r="A100" s="1">
        <v>46002</v>
      </c>
      <c r="B100" s="2">
        <v>7.3726851851851852E-3</v>
      </c>
      <c r="C100">
        <v>98</v>
      </c>
      <c r="D100" s="3">
        <v>8.8699999999999992</v>
      </c>
      <c r="E100">
        <v>93</v>
      </c>
      <c r="F100" s="3">
        <v>9.86</v>
      </c>
      <c r="G100">
        <v>0</v>
      </c>
    </row>
    <row r="101" spans="1:7" x14ac:dyDescent="0.3">
      <c r="A101" s="1">
        <v>46002</v>
      </c>
      <c r="B101" s="2">
        <v>2.1261574074074075E-2</v>
      </c>
      <c r="C101">
        <v>97</v>
      </c>
      <c r="D101" s="3">
        <v>8.85</v>
      </c>
      <c r="E101">
        <v>91</v>
      </c>
      <c r="F101" s="3">
        <v>9.93</v>
      </c>
      <c r="G101">
        <v>0</v>
      </c>
    </row>
    <row r="102" spans="1:7" x14ac:dyDescent="0.3">
      <c r="A102" s="1">
        <v>46002</v>
      </c>
      <c r="B102" s="2">
        <v>3.515046296296296E-2</v>
      </c>
      <c r="C102">
        <v>97</v>
      </c>
      <c r="D102" s="3">
        <v>8.86</v>
      </c>
      <c r="E102">
        <v>92</v>
      </c>
      <c r="F102" s="3">
        <v>9.84</v>
      </c>
      <c r="G102">
        <v>0</v>
      </c>
    </row>
    <row r="103" spans="1:7" x14ac:dyDescent="0.3">
      <c r="A103" s="1">
        <v>46002</v>
      </c>
      <c r="B103" s="2">
        <v>4.2094907407407407E-2</v>
      </c>
      <c r="C103">
        <v>97</v>
      </c>
      <c r="D103" s="3">
        <v>8.86</v>
      </c>
      <c r="E103">
        <v>93</v>
      </c>
      <c r="F103" s="3">
        <v>9.7899999999999991</v>
      </c>
      <c r="G103">
        <v>0</v>
      </c>
    </row>
    <row r="104" spans="1:7" x14ac:dyDescent="0.3">
      <c r="A104" s="1">
        <v>46002</v>
      </c>
      <c r="B104" s="2">
        <v>4.9039351851851855E-2</v>
      </c>
      <c r="C104">
        <v>97</v>
      </c>
      <c r="D104" s="3">
        <v>8.86</v>
      </c>
      <c r="E104">
        <v>93</v>
      </c>
      <c r="F104" s="3">
        <v>9.76</v>
      </c>
      <c r="G104">
        <v>0</v>
      </c>
    </row>
    <row r="105" spans="1:7" x14ac:dyDescent="0.3">
      <c r="A105" s="1">
        <v>46002</v>
      </c>
      <c r="B105" s="2">
        <v>7.6817129629629624E-2</v>
      </c>
      <c r="C105">
        <v>98</v>
      </c>
      <c r="D105" s="3">
        <v>8.89</v>
      </c>
      <c r="E105">
        <v>93</v>
      </c>
      <c r="F105" s="3">
        <v>9.83</v>
      </c>
      <c r="G105">
        <v>0</v>
      </c>
    </row>
    <row r="106" spans="1:7" x14ac:dyDescent="0.3">
      <c r="A106" s="1">
        <v>46002</v>
      </c>
      <c r="B106" s="2">
        <v>0.1184837962962963</v>
      </c>
      <c r="C106">
        <v>97</v>
      </c>
      <c r="D106" s="3">
        <v>8.86</v>
      </c>
      <c r="E106">
        <v>91</v>
      </c>
      <c r="F106" s="3">
        <v>9.89</v>
      </c>
      <c r="G106">
        <v>0</v>
      </c>
    </row>
    <row r="107" spans="1:7" x14ac:dyDescent="0.3">
      <c r="A107" s="1">
        <v>46002</v>
      </c>
      <c r="B107" s="2">
        <v>0.12542824074074074</v>
      </c>
      <c r="C107">
        <v>96</v>
      </c>
      <c r="D107" s="3">
        <v>8.85</v>
      </c>
      <c r="E107">
        <v>89</v>
      </c>
      <c r="F107" s="3">
        <v>9.91</v>
      </c>
      <c r="G107">
        <v>0</v>
      </c>
    </row>
    <row r="108" spans="1:7" x14ac:dyDescent="0.3">
      <c r="A108" s="1">
        <v>46002</v>
      </c>
      <c r="B108" s="2">
        <v>0.13237268518518519</v>
      </c>
      <c r="C108">
        <v>96</v>
      </c>
      <c r="D108" s="3">
        <v>8.85</v>
      </c>
      <c r="E108">
        <v>90</v>
      </c>
      <c r="F108" s="3">
        <v>9.86</v>
      </c>
      <c r="G108">
        <v>0</v>
      </c>
    </row>
    <row r="109" spans="1:7" x14ac:dyDescent="0.3">
      <c r="A109" s="1">
        <v>46002</v>
      </c>
      <c r="B109" s="2">
        <v>0.15320601851851851</v>
      </c>
      <c r="C109">
        <v>94</v>
      </c>
      <c r="D109" s="3">
        <v>8.86</v>
      </c>
      <c r="E109">
        <v>91</v>
      </c>
      <c r="F109" s="3">
        <v>9.7799999999999994</v>
      </c>
      <c r="G109">
        <v>0</v>
      </c>
    </row>
    <row r="110" spans="1:7" x14ac:dyDescent="0.3">
      <c r="A110" s="1">
        <v>46002</v>
      </c>
      <c r="B110" s="2">
        <v>0.16015046296296295</v>
      </c>
      <c r="C110">
        <v>94</v>
      </c>
      <c r="D110" s="3">
        <v>8.86</v>
      </c>
      <c r="E110">
        <v>90</v>
      </c>
      <c r="F110" s="3">
        <v>9.7899999999999991</v>
      </c>
      <c r="G110">
        <v>0</v>
      </c>
    </row>
    <row r="111" spans="1:7" x14ac:dyDescent="0.3">
      <c r="A111" s="1">
        <v>46002</v>
      </c>
      <c r="B111" s="2">
        <v>0.1670949074074074</v>
      </c>
      <c r="C111">
        <v>95</v>
      </c>
      <c r="D111" s="3">
        <v>8.8699999999999992</v>
      </c>
      <c r="E111">
        <v>91</v>
      </c>
      <c r="F111" s="3">
        <v>9.7100000000000009</v>
      </c>
      <c r="G111">
        <v>0</v>
      </c>
    </row>
    <row r="112" spans="1:7" x14ac:dyDescent="0.3">
      <c r="A112" s="1">
        <v>46002</v>
      </c>
      <c r="B112" s="2">
        <v>0.17403935185185185</v>
      </c>
      <c r="C112">
        <v>95</v>
      </c>
      <c r="D112" s="3">
        <v>8.85</v>
      </c>
      <c r="E112">
        <v>89</v>
      </c>
      <c r="F112" s="3">
        <v>9.74</v>
      </c>
      <c r="G112">
        <v>0</v>
      </c>
    </row>
    <row r="113" spans="1:7" x14ac:dyDescent="0.3">
      <c r="A113" s="1">
        <v>46002</v>
      </c>
      <c r="B113" s="2">
        <v>0.18792824074074074</v>
      </c>
      <c r="C113">
        <v>94</v>
      </c>
      <c r="D113" s="3">
        <v>8.85</v>
      </c>
      <c r="E113">
        <v>89</v>
      </c>
      <c r="F113" s="3">
        <v>9.75</v>
      </c>
      <c r="G113">
        <v>0</v>
      </c>
    </row>
    <row r="114" spans="1:7" x14ac:dyDescent="0.3">
      <c r="A114" s="1">
        <v>46002</v>
      </c>
      <c r="B114" s="2">
        <v>0.19487268518518519</v>
      </c>
      <c r="C114">
        <v>94</v>
      </c>
      <c r="D114" s="3">
        <v>8.86</v>
      </c>
      <c r="E114">
        <v>91</v>
      </c>
      <c r="F114" s="3">
        <v>9.7100000000000009</v>
      </c>
      <c r="G114">
        <v>0</v>
      </c>
    </row>
    <row r="115" spans="1:7" x14ac:dyDescent="0.3">
      <c r="A115" s="1">
        <v>46002</v>
      </c>
      <c r="B115" s="2">
        <v>0.20181712962962964</v>
      </c>
      <c r="C115">
        <v>94</v>
      </c>
      <c r="D115" s="3">
        <v>8.89</v>
      </c>
      <c r="E115">
        <v>91</v>
      </c>
      <c r="F115" s="3">
        <v>9.67</v>
      </c>
      <c r="G115">
        <v>0</v>
      </c>
    </row>
    <row r="116" spans="1:7" x14ac:dyDescent="0.3">
      <c r="A116" s="1">
        <v>46002</v>
      </c>
      <c r="B116" s="2">
        <v>0.20876157407407409</v>
      </c>
      <c r="C116">
        <v>95</v>
      </c>
      <c r="D116" s="3">
        <v>8.91</v>
      </c>
      <c r="E116">
        <v>92</v>
      </c>
      <c r="F116" s="3">
        <v>9.6300000000000008</v>
      </c>
      <c r="G116">
        <v>0</v>
      </c>
    </row>
    <row r="117" spans="1:7" x14ac:dyDescent="0.3">
      <c r="A117" s="1">
        <v>46002</v>
      </c>
      <c r="B117" s="2">
        <v>0.21570601851851851</v>
      </c>
      <c r="C117">
        <v>95</v>
      </c>
      <c r="D117" s="3">
        <v>8.92</v>
      </c>
      <c r="E117">
        <v>93</v>
      </c>
      <c r="F117" s="3">
        <v>9.6300000000000008</v>
      </c>
      <c r="G117">
        <v>0</v>
      </c>
    </row>
    <row r="118" spans="1:7" x14ac:dyDescent="0.3">
      <c r="A118" s="1">
        <v>46002</v>
      </c>
      <c r="B118" s="2">
        <v>0.2434837962962963</v>
      </c>
      <c r="C118">
        <v>92</v>
      </c>
      <c r="D118" s="3">
        <v>8.83</v>
      </c>
      <c r="E118">
        <v>85</v>
      </c>
      <c r="F118" s="3">
        <v>9.9</v>
      </c>
      <c r="G118">
        <v>0</v>
      </c>
    </row>
    <row r="119" spans="1:7" x14ac:dyDescent="0.3">
      <c r="A119" s="1">
        <v>46002</v>
      </c>
      <c r="B119" s="2">
        <v>0.25042824074074072</v>
      </c>
      <c r="C119">
        <v>91</v>
      </c>
      <c r="D119" s="3">
        <v>8.84</v>
      </c>
      <c r="E119">
        <v>86</v>
      </c>
      <c r="F119" s="3">
        <v>9.69</v>
      </c>
      <c r="G119">
        <v>0</v>
      </c>
    </row>
    <row r="120" spans="1:7" x14ac:dyDescent="0.3">
      <c r="A120" s="1">
        <v>46002</v>
      </c>
      <c r="B120" s="2">
        <v>0.25737268518518519</v>
      </c>
      <c r="C120">
        <v>91</v>
      </c>
      <c r="D120" s="3">
        <v>8.84</v>
      </c>
      <c r="E120">
        <v>85</v>
      </c>
      <c r="F120" s="3">
        <v>9.75</v>
      </c>
      <c r="G120">
        <v>0</v>
      </c>
    </row>
    <row r="121" spans="1:7" x14ac:dyDescent="0.3">
      <c r="A121" s="1">
        <v>46002</v>
      </c>
      <c r="B121" s="2">
        <v>0.26431712962962961</v>
      </c>
      <c r="C121">
        <v>91</v>
      </c>
      <c r="D121" s="3">
        <v>8.85</v>
      </c>
      <c r="E121">
        <v>88</v>
      </c>
      <c r="F121" s="3">
        <v>9.61</v>
      </c>
      <c r="G121">
        <v>0</v>
      </c>
    </row>
    <row r="122" spans="1:7" x14ac:dyDescent="0.3">
      <c r="A122" s="1">
        <v>46002</v>
      </c>
      <c r="B122" s="2">
        <v>0.28515046296296298</v>
      </c>
      <c r="C122">
        <v>92</v>
      </c>
      <c r="D122" s="3">
        <v>8.8800000000000008</v>
      </c>
      <c r="E122">
        <v>86</v>
      </c>
      <c r="F122" s="3">
        <v>9.81</v>
      </c>
      <c r="G122">
        <v>0</v>
      </c>
    </row>
    <row r="123" spans="1:7" x14ac:dyDescent="0.3">
      <c r="A123" s="1">
        <v>46002</v>
      </c>
      <c r="B123" s="2">
        <v>0.29903935185185188</v>
      </c>
      <c r="C123">
        <v>90</v>
      </c>
      <c r="D123" s="3">
        <v>8.83</v>
      </c>
      <c r="E123">
        <v>84</v>
      </c>
      <c r="F123" s="3">
        <v>9.98</v>
      </c>
      <c r="G123">
        <v>0</v>
      </c>
    </row>
    <row r="124" spans="1:7" x14ac:dyDescent="0.3">
      <c r="A124" s="1">
        <v>46002</v>
      </c>
      <c r="B124" s="2">
        <v>0.31292824074074072</v>
      </c>
      <c r="C124">
        <v>89</v>
      </c>
      <c r="D124" s="3">
        <v>8.83</v>
      </c>
      <c r="E124">
        <v>82</v>
      </c>
      <c r="F124" s="3">
        <v>10</v>
      </c>
      <c r="G124">
        <v>0</v>
      </c>
    </row>
    <row r="125" spans="1:7" x14ac:dyDescent="0.3">
      <c r="A125" s="1">
        <v>46002</v>
      </c>
      <c r="B125" s="2">
        <v>0.31987268518518519</v>
      </c>
      <c r="C125">
        <v>89</v>
      </c>
      <c r="D125" s="3">
        <v>8.83</v>
      </c>
      <c r="E125">
        <v>82</v>
      </c>
      <c r="F125" s="3">
        <v>10</v>
      </c>
      <c r="G125">
        <v>0</v>
      </c>
    </row>
    <row r="126" spans="1:7" x14ac:dyDescent="0.3">
      <c r="A126" s="1">
        <v>46002</v>
      </c>
      <c r="B126" s="2">
        <v>0.32681712962962961</v>
      </c>
      <c r="C126">
        <v>88</v>
      </c>
      <c r="D126" s="3">
        <v>8.84</v>
      </c>
      <c r="E126">
        <v>83</v>
      </c>
      <c r="F126" s="3">
        <v>10</v>
      </c>
      <c r="G126">
        <v>1</v>
      </c>
    </row>
    <row r="127" spans="1:7" x14ac:dyDescent="0.3">
      <c r="A127" s="1">
        <v>46002</v>
      </c>
      <c r="B127" s="2">
        <v>0.33376157407407409</v>
      </c>
      <c r="C127">
        <v>88</v>
      </c>
      <c r="D127" s="3">
        <v>8.85</v>
      </c>
      <c r="E127">
        <v>83</v>
      </c>
      <c r="F127" s="3">
        <v>10</v>
      </c>
      <c r="G127">
        <v>0</v>
      </c>
    </row>
    <row r="128" spans="1:7" x14ac:dyDescent="0.3">
      <c r="A128" s="1">
        <v>46002</v>
      </c>
      <c r="B128" s="2">
        <v>0.36153935185185188</v>
      </c>
      <c r="C128">
        <v>91</v>
      </c>
      <c r="D128" s="3">
        <v>8.93</v>
      </c>
      <c r="E128">
        <v>88</v>
      </c>
      <c r="F128" s="3">
        <v>9.98</v>
      </c>
      <c r="G128">
        <v>34</v>
      </c>
    </row>
    <row r="129" spans="1:7" x14ac:dyDescent="0.3">
      <c r="A129" s="1">
        <v>46002</v>
      </c>
      <c r="B129" s="2">
        <v>0.3684837962962963</v>
      </c>
      <c r="C129">
        <v>92</v>
      </c>
      <c r="D129" s="3">
        <v>8.94</v>
      </c>
      <c r="E129">
        <v>88</v>
      </c>
      <c r="F129" s="3">
        <v>9.98</v>
      </c>
      <c r="G129">
        <v>41</v>
      </c>
    </row>
    <row r="130" spans="1:7" x14ac:dyDescent="0.3">
      <c r="A130" s="1">
        <v>46002</v>
      </c>
      <c r="B130" s="2">
        <v>0.37542824074074072</v>
      </c>
      <c r="C130">
        <v>92</v>
      </c>
      <c r="D130" s="3">
        <v>8.94</v>
      </c>
      <c r="E130">
        <v>89</v>
      </c>
      <c r="F130" s="3">
        <v>9.9700000000000006</v>
      </c>
      <c r="G130">
        <v>41</v>
      </c>
    </row>
    <row r="131" spans="1:7" x14ac:dyDescent="0.3">
      <c r="A131" s="1">
        <v>46002</v>
      </c>
      <c r="B131" s="2">
        <v>0.38237268518518519</v>
      </c>
      <c r="C131">
        <v>92</v>
      </c>
      <c r="D131" s="3">
        <v>8.9600000000000009</v>
      </c>
      <c r="E131">
        <v>90</v>
      </c>
      <c r="F131" s="3">
        <v>9.92</v>
      </c>
      <c r="G131">
        <v>54</v>
      </c>
    </row>
    <row r="132" spans="1:7" x14ac:dyDescent="0.3">
      <c r="A132" s="1">
        <v>46002</v>
      </c>
      <c r="B132" s="2">
        <v>0.40320601851851851</v>
      </c>
      <c r="C132">
        <v>95</v>
      </c>
      <c r="D132" s="3">
        <v>8.9700000000000006</v>
      </c>
      <c r="E132">
        <v>90</v>
      </c>
      <c r="F132" s="3">
        <v>10</v>
      </c>
      <c r="G132">
        <v>85</v>
      </c>
    </row>
    <row r="133" spans="1:7" x14ac:dyDescent="0.3">
      <c r="A133" s="1">
        <v>46002</v>
      </c>
      <c r="B133" s="2">
        <v>0.41015046296296298</v>
      </c>
      <c r="C133">
        <v>94</v>
      </c>
      <c r="D133" s="3">
        <v>8.9700000000000006</v>
      </c>
      <c r="E133">
        <v>90</v>
      </c>
      <c r="F133" s="3">
        <v>10</v>
      </c>
      <c r="G133">
        <v>116</v>
      </c>
    </row>
    <row r="134" spans="1:7" x14ac:dyDescent="0.3">
      <c r="A134" s="1">
        <v>46002</v>
      </c>
      <c r="B134" s="2">
        <v>0.4170949074074074</v>
      </c>
      <c r="C134">
        <v>95</v>
      </c>
      <c r="D134" s="3">
        <v>8.98</v>
      </c>
      <c r="E134">
        <v>91</v>
      </c>
      <c r="F134" s="3">
        <v>10</v>
      </c>
      <c r="G134">
        <v>95</v>
      </c>
    </row>
    <row r="135" spans="1:7" x14ac:dyDescent="0.3">
      <c r="A135" s="1">
        <v>46002</v>
      </c>
      <c r="B135" s="2">
        <v>0.43792824074074072</v>
      </c>
      <c r="C135">
        <v>95</v>
      </c>
      <c r="D135" s="3">
        <v>9</v>
      </c>
      <c r="E135">
        <v>92</v>
      </c>
      <c r="F135" s="3">
        <v>10</v>
      </c>
      <c r="G135">
        <v>143</v>
      </c>
    </row>
    <row r="136" spans="1:7" x14ac:dyDescent="0.3">
      <c r="A136" s="1">
        <v>46002</v>
      </c>
      <c r="B136" s="2">
        <v>0.44487268518518519</v>
      </c>
      <c r="C136">
        <v>95</v>
      </c>
      <c r="D136" s="3">
        <v>9.01</v>
      </c>
      <c r="E136">
        <v>92</v>
      </c>
      <c r="F136" s="3">
        <v>10</v>
      </c>
      <c r="G136">
        <v>141</v>
      </c>
    </row>
    <row r="137" spans="1:7" x14ac:dyDescent="0.3">
      <c r="A137" s="1">
        <v>46002</v>
      </c>
      <c r="B137" s="2">
        <v>0.45876157407407409</v>
      </c>
      <c r="C137">
        <v>96</v>
      </c>
      <c r="D137" s="3">
        <v>9.0299999999999994</v>
      </c>
      <c r="E137">
        <v>93</v>
      </c>
      <c r="F137" s="3">
        <v>10</v>
      </c>
      <c r="G137">
        <v>59</v>
      </c>
    </row>
    <row r="138" spans="1:7" x14ac:dyDescent="0.3">
      <c r="A138" s="1">
        <v>46002</v>
      </c>
      <c r="B138" s="2">
        <v>0.46570601851851851</v>
      </c>
      <c r="C138">
        <v>97</v>
      </c>
      <c r="D138" s="3">
        <v>9.0399999999999991</v>
      </c>
      <c r="E138">
        <v>93</v>
      </c>
      <c r="F138" s="3">
        <v>10</v>
      </c>
      <c r="G138">
        <v>155</v>
      </c>
    </row>
    <row r="139" spans="1:7" x14ac:dyDescent="0.3">
      <c r="A139" s="1">
        <v>46002</v>
      </c>
      <c r="B139" s="2">
        <v>0.47265046296296298</v>
      </c>
      <c r="C139">
        <v>97</v>
      </c>
      <c r="D139" s="3">
        <v>9.0299999999999994</v>
      </c>
      <c r="E139">
        <v>93</v>
      </c>
      <c r="F139" s="3">
        <v>10</v>
      </c>
      <c r="G139">
        <v>155</v>
      </c>
    </row>
    <row r="140" spans="1:7" x14ac:dyDescent="0.3">
      <c r="A140" s="1">
        <v>46002</v>
      </c>
      <c r="B140" s="2">
        <v>0.4934837962962963</v>
      </c>
      <c r="C140">
        <v>97</v>
      </c>
      <c r="D140" s="3">
        <v>9.0500000000000007</v>
      </c>
      <c r="E140">
        <v>94</v>
      </c>
      <c r="F140" s="3">
        <v>10</v>
      </c>
      <c r="G140">
        <v>113</v>
      </c>
    </row>
    <row r="141" spans="1:7" x14ac:dyDescent="0.3">
      <c r="A141" s="1">
        <v>46002</v>
      </c>
      <c r="B141" s="2">
        <v>0.50042824074074077</v>
      </c>
      <c r="C141">
        <v>97</v>
      </c>
      <c r="D141" s="3">
        <v>9.0500000000000007</v>
      </c>
      <c r="E141">
        <v>93</v>
      </c>
      <c r="F141" s="3">
        <v>10</v>
      </c>
      <c r="G141">
        <v>139</v>
      </c>
    </row>
    <row r="142" spans="1:7" x14ac:dyDescent="0.3">
      <c r="A142" s="1">
        <v>46002</v>
      </c>
      <c r="B142" s="2">
        <v>0.50737268518518519</v>
      </c>
      <c r="C142">
        <v>98</v>
      </c>
      <c r="D142" s="3">
        <v>9.07</v>
      </c>
      <c r="E142">
        <v>94</v>
      </c>
      <c r="F142" s="3">
        <v>10</v>
      </c>
      <c r="G142">
        <v>156</v>
      </c>
    </row>
    <row r="143" spans="1:7" x14ac:dyDescent="0.3">
      <c r="A143" s="1">
        <v>46002</v>
      </c>
      <c r="B143" s="2">
        <v>0.53986111111111112</v>
      </c>
      <c r="C143">
        <v>98</v>
      </c>
      <c r="D143" s="3">
        <v>9.1199999999999992</v>
      </c>
      <c r="E143">
        <v>92</v>
      </c>
      <c r="F143" s="3">
        <v>10</v>
      </c>
      <c r="G143">
        <v>29</v>
      </c>
    </row>
    <row r="144" spans="1:7" x14ac:dyDescent="0.3">
      <c r="A144" s="1">
        <v>46002</v>
      </c>
      <c r="B144" s="2">
        <v>0.54680555555555554</v>
      </c>
      <c r="C144">
        <v>98</v>
      </c>
      <c r="D144" s="3">
        <v>9.09</v>
      </c>
      <c r="E144">
        <v>92</v>
      </c>
      <c r="F144" s="3">
        <v>10</v>
      </c>
      <c r="G144">
        <v>33</v>
      </c>
    </row>
    <row r="145" spans="1:7" x14ac:dyDescent="0.3">
      <c r="A145" s="1">
        <v>46002</v>
      </c>
      <c r="B145" s="2">
        <v>0.57458333333333333</v>
      </c>
      <c r="C145">
        <v>98</v>
      </c>
      <c r="D145" s="3">
        <v>9.07</v>
      </c>
      <c r="E145">
        <v>94</v>
      </c>
      <c r="F145" s="3">
        <v>10</v>
      </c>
      <c r="G145">
        <v>133</v>
      </c>
    </row>
    <row r="146" spans="1:7" x14ac:dyDescent="0.3">
      <c r="A146" s="1">
        <v>46002</v>
      </c>
      <c r="B146" s="2">
        <v>0.58152777777777775</v>
      </c>
      <c r="C146">
        <v>98</v>
      </c>
      <c r="D146" s="3">
        <v>9.06</v>
      </c>
      <c r="E146">
        <v>93</v>
      </c>
      <c r="F146" s="3">
        <v>10</v>
      </c>
      <c r="G146">
        <v>89</v>
      </c>
    </row>
    <row r="147" spans="1:7" x14ac:dyDescent="0.3">
      <c r="A147" s="1">
        <v>46002</v>
      </c>
      <c r="B147" s="2">
        <v>0.59541666666666671</v>
      </c>
      <c r="C147">
        <v>98</v>
      </c>
      <c r="D147" s="3">
        <v>9.07</v>
      </c>
      <c r="E147">
        <v>93</v>
      </c>
      <c r="F147" s="3">
        <v>9.9700000000000006</v>
      </c>
      <c r="G147">
        <v>68</v>
      </c>
    </row>
    <row r="148" spans="1:7" x14ac:dyDescent="0.3">
      <c r="A148" s="1">
        <v>46002</v>
      </c>
      <c r="B148" s="2">
        <v>0.60236111111111112</v>
      </c>
      <c r="C148">
        <v>98</v>
      </c>
      <c r="D148" s="3">
        <v>9.07</v>
      </c>
      <c r="E148">
        <v>93</v>
      </c>
      <c r="F148" s="3">
        <v>9.99</v>
      </c>
      <c r="G148">
        <v>56</v>
      </c>
    </row>
    <row r="149" spans="1:7" x14ac:dyDescent="0.3">
      <c r="A149" s="1">
        <v>46002</v>
      </c>
      <c r="B149" s="2">
        <v>0.63013888888888892</v>
      </c>
      <c r="C149">
        <v>97</v>
      </c>
      <c r="D149" s="3">
        <v>9.06</v>
      </c>
      <c r="E149">
        <v>94</v>
      </c>
      <c r="F149" s="3">
        <v>9.83</v>
      </c>
      <c r="G149">
        <v>3</v>
      </c>
    </row>
    <row r="150" spans="1:7" x14ac:dyDescent="0.3">
      <c r="A150" s="1">
        <v>46002</v>
      </c>
      <c r="B150" s="2">
        <v>0.63708333333333333</v>
      </c>
      <c r="C150">
        <v>98</v>
      </c>
      <c r="D150" s="3">
        <v>9.06</v>
      </c>
      <c r="E150">
        <v>94</v>
      </c>
      <c r="F150" s="3">
        <v>9.85</v>
      </c>
      <c r="G150">
        <v>20</v>
      </c>
    </row>
    <row r="151" spans="1:7" x14ac:dyDescent="0.3">
      <c r="A151" s="1">
        <v>46002</v>
      </c>
      <c r="B151" s="2">
        <v>0.64402777777777775</v>
      </c>
      <c r="C151">
        <v>98</v>
      </c>
      <c r="D151" s="3">
        <v>9.06</v>
      </c>
      <c r="E151">
        <v>94</v>
      </c>
      <c r="F151" s="3">
        <v>9.82</v>
      </c>
      <c r="G151">
        <v>1</v>
      </c>
    </row>
    <row r="152" spans="1:7" x14ac:dyDescent="0.3">
      <c r="A152" s="1">
        <v>46002</v>
      </c>
      <c r="B152" s="2">
        <v>0.65791666666666671</v>
      </c>
      <c r="C152">
        <v>97</v>
      </c>
      <c r="D152" s="3">
        <v>9.0500000000000007</v>
      </c>
      <c r="E152">
        <v>93</v>
      </c>
      <c r="F152" s="3">
        <v>9.85</v>
      </c>
      <c r="G152">
        <v>1</v>
      </c>
    </row>
    <row r="153" spans="1:7" x14ac:dyDescent="0.3">
      <c r="A153" s="1">
        <v>46002</v>
      </c>
      <c r="B153" s="2">
        <v>0.66486111111111112</v>
      </c>
      <c r="C153">
        <v>97</v>
      </c>
      <c r="D153" s="3">
        <v>9.0500000000000007</v>
      </c>
      <c r="E153">
        <v>93</v>
      </c>
      <c r="F153" s="3">
        <v>9.83</v>
      </c>
      <c r="G153">
        <v>0</v>
      </c>
    </row>
    <row r="154" spans="1:7" x14ac:dyDescent="0.3">
      <c r="A154" s="1">
        <v>46002</v>
      </c>
      <c r="B154" s="2">
        <v>0.67874999999999996</v>
      </c>
      <c r="C154">
        <v>97</v>
      </c>
      <c r="D154" s="3">
        <v>9.0399999999999991</v>
      </c>
      <c r="E154">
        <v>92</v>
      </c>
      <c r="F154" s="3">
        <v>9.9</v>
      </c>
      <c r="G154">
        <v>0</v>
      </c>
    </row>
    <row r="155" spans="1:7" x14ac:dyDescent="0.3">
      <c r="A155" s="1">
        <v>46002</v>
      </c>
      <c r="B155" s="2">
        <v>0.6856944444444445</v>
      </c>
      <c r="C155">
        <v>96</v>
      </c>
      <c r="D155" s="3">
        <v>9.0500000000000007</v>
      </c>
      <c r="E155">
        <v>91</v>
      </c>
      <c r="F155" s="3">
        <v>9.89</v>
      </c>
      <c r="G155">
        <v>0</v>
      </c>
    </row>
    <row r="156" spans="1:7" x14ac:dyDescent="0.3">
      <c r="A156" s="1">
        <v>46002</v>
      </c>
      <c r="B156" s="2">
        <v>0.69958333333333333</v>
      </c>
      <c r="C156">
        <v>95</v>
      </c>
      <c r="D156" s="3">
        <v>9.0500000000000007</v>
      </c>
      <c r="E156">
        <v>91</v>
      </c>
      <c r="F156" s="3">
        <v>9.8800000000000008</v>
      </c>
      <c r="G156">
        <v>0</v>
      </c>
    </row>
    <row r="157" spans="1:7" x14ac:dyDescent="0.3">
      <c r="A157" s="1">
        <v>46002</v>
      </c>
      <c r="B157" s="2">
        <v>0.70652777777777775</v>
      </c>
      <c r="C157">
        <v>95</v>
      </c>
      <c r="D157" s="3">
        <v>9.0500000000000007</v>
      </c>
      <c r="E157">
        <v>91</v>
      </c>
      <c r="F157" s="3">
        <v>9.8000000000000007</v>
      </c>
      <c r="G157">
        <v>0</v>
      </c>
    </row>
    <row r="158" spans="1:7" x14ac:dyDescent="0.3">
      <c r="A158" s="1">
        <v>46002</v>
      </c>
      <c r="B158" s="2">
        <v>0.72736111111111112</v>
      </c>
      <c r="C158">
        <v>96</v>
      </c>
      <c r="D158" s="3">
        <v>9.07</v>
      </c>
      <c r="E158">
        <v>92</v>
      </c>
      <c r="F158" s="3">
        <v>9.73</v>
      </c>
      <c r="G158">
        <v>0</v>
      </c>
    </row>
    <row r="159" spans="1:7" x14ac:dyDescent="0.3">
      <c r="A159" s="1">
        <v>46002</v>
      </c>
      <c r="B159" s="2">
        <v>0.74124999999999996</v>
      </c>
      <c r="C159">
        <v>96</v>
      </c>
      <c r="D159" s="3">
        <v>9.07</v>
      </c>
      <c r="E159">
        <v>93</v>
      </c>
      <c r="F159" s="3">
        <v>9.6300000000000008</v>
      </c>
      <c r="G159">
        <v>0</v>
      </c>
    </row>
    <row r="160" spans="1:7" x14ac:dyDescent="0.3">
      <c r="A160" s="1">
        <v>46002</v>
      </c>
      <c r="B160" s="2">
        <v>0.75513888888888892</v>
      </c>
      <c r="C160">
        <v>96</v>
      </c>
      <c r="D160" s="3">
        <v>9.07</v>
      </c>
      <c r="E160">
        <v>93</v>
      </c>
      <c r="F160" s="3">
        <v>9.49</v>
      </c>
      <c r="G160">
        <v>0</v>
      </c>
    </row>
    <row r="161" spans="1:7" x14ac:dyDescent="0.3">
      <c r="A161" s="1">
        <v>46002</v>
      </c>
      <c r="B161" s="2">
        <v>0.76902777777777775</v>
      </c>
      <c r="C161">
        <v>97</v>
      </c>
      <c r="D161" s="3">
        <v>9.06</v>
      </c>
      <c r="E161">
        <v>93</v>
      </c>
      <c r="F161" s="3">
        <v>9.48</v>
      </c>
      <c r="G161">
        <v>0</v>
      </c>
    </row>
    <row r="162" spans="1:7" x14ac:dyDescent="0.3">
      <c r="A162" s="1">
        <v>46002</v>
      </c>
      <c r="B162" s="2">
        <v>0.78291666666666671</v>
      </c>
      <c r="C162">
        <v>97</v>
      </c>
      <c r="D162" s="3">
        <v>9.06</v>
      </c>
      <c r="E162">
        <v>92</v>
      </c>
      <c r="F162" s="3">
        <v>9.5299999999999994</v>
      </c>
      <c r="G162">
        <v>0</v>
      </c>
    </row>
    <row r="163" spans="1:7" x14ac:dyDescent="0.3">
      <c r="A163" s="1">
        <v>46002</v>
      </c>
      <c r="B163" s="2">
        <v>0.78986111111111112</v>
      </c>
      <c r="C163">
        <v>96</v>
      </c>
      <c r="D163" s="3">
        <v>9.06</v>
      </c>
      <c r="E163">
        <v>92</v>
      </c>
      <c r="F163" s="3">
        <v>9.6199999999999992</v>
      </c>
      <c r="G163">
        <v>0</v>
      </c>
    </row>
    <row r="164" spans="1:7" x14ac:dyDescent="0.3">
      <c r="A164" s="1">
        <v>46002</v>
      </c>
      <c r="B164" s="2">
        <v>0.80374999999999996</v>
      </c>
      <c r="C164">
        <v>96</v>
      </c>
      <c r="D164" s="3">
        <v>9.06</v>
      </c>
      <c r="E164">
        <v>91</v>
      </c>
      <c r="F164" s="3">
        <v>9.68</v>
      </c>
      <c r="G164">
        <v>0</v>
      </c>
    </row>
    <row r="165" spans="1:7" x14ac:dyDescent="0.3">
      <c r="A165" s="1">
        <v>46002</v>
      </c>
      <c r="B165" s="2">
        <v>0.81763888888888892</v>
      </c>
      <c r="C165">
        <v>95</v>
      </c>
      <c r="D165" s="3">
        <v>9.0500000000000007</v>
      </c>
      <c r="E165">
        <v>90</v>
      </c>
      <c r="F165" s="3">
        <v>9.74</v>
      </c>
      <c r="G165">
        <v>0</v>
      </c>
    </row>
    <row r="166" spans="1:7" x14ac:dyDescent="0.3">
      <c r="A166" s="1">
        <v>46002</v>
      </c>
      <c r="B166" s="2">
        <v>0.82458333333333333</v>
      </c>
      <c r="C166">
        <v>95</v>
      </c>
      <c r="D166" s="3">
        <v>9.06</v>
      </c>
      <c r="E166">
        <v>91</v>
      </c>
      <c r="F166" s="3">
        <v>9.74</v>
      </c>
      <c r="G166">
        <v>0</v>
      </c>
    </row>
    <row r="167" spans="1:7" x14ac:dyDescent="0.3">
      <c r="A167" s="1">
        <v>46002</v>
      </c>
      <c r="B167" s="2">
        <v>0.83152777777777775</v>
      </c>
      <c r="C167">
        <v>95</v>
      </c>
      <c r="D167" s="3">
        <v>9.06</v>
      </c>
      <c r="E167">
        <v>91</v>
      </c>
      <c r="F167" s="3">
        <v>9.69</v>
      </c>
      <c r="G167">
        <v>0</v>
      </c>
    </row>
    <row r="168" spans="1:7" x14ac:dyDescent="0.3">
      <c r="A168" s="1">
        <v>46002</v>
      </c>
      <c r="B168" s="2">
        <v>0.83847222222222217</v>
      </c>
      <c r="C168">
        <v>95</v>
      </c>
      <c r="D168" s="3">
        <v>9.0500000000000007</v>
      </c>
      <c r="E168">
        <v>91</v>
      </c>
      <c r="F168" s="3">
        <v>9.59</v>
      </c>
      <c r="G168">
        <v>0</v>
      </c>
    </row>
    <row r="169" spans="1:7" x14ac:dyDescent="0.3">
      <c r="A169" s="1">
        <v>46002</v>
      </c>
      <c r="B169" s="2">
        <v>0.85253472222222226</v>
      </c>
      <c r="C169">
        <v>98</v>
      </c>
      <c r="D169" s="3">
        <v>9.2799999999999994</v>
      </c>
      <c r="E169">
        <v>97</v>
      </c>
      <c r="F169" s="3">
        <v>9.34</v>
      </c>
      <c r="G169">
        <v>0</v>
      </c>
    </row>
    <row r="170" spans="1:7" x14ac:dyDescent="0.3">
      <c r="A170" s="1">
        <v>46002</v>
      </c>
      <c r="B170" s="2">
        <v>0.8664236111111111</v>
      </c>
      <c r="C170">
        <v>96</v>
      </c>
      <c r="D170" s="3">
        <v>9.08</v>
      </c>
      <c r="E170">
        <v>92</v>
      </c>
      <c r="F170" s="3">
        <v>9.4600000000000009</v>
      </c>
      <c r="G170">
        <v>0</v>
      </c>
    </row>
    <row r="171" spans="1:7" x14ac:dyDescent="0.3">
      <c r="A171" s="1">
        <v>46002</v>
      </c>
      <c r="B171" s="2">
        <v>0.88031250000000005</v>
      </c>
      <c r="C171">
        <v>95</v>
      </c>
      <c r="D171" s="3">
        <v>9.09</v>
      </c>
      <c r="E171">
        <v>92</v>
      </c>
      <c r="F171" s="3">
        <v>9.52</v>
      </c>
      <c r="G171">
        <v>0</v>
      </c>
    </row>
    <row r="172" spans="1:7" x14ac:dyDescent="0.3">
      <c r="A172" s="1">
        <v>46002</v>
      </c>
      <c r="B172" s="2">
        <v>0.90114583333333331</v>
      </c>
      <c r="C172">
        <v>95</v>
      </c>
      <c r="D172" s="3">
        <v>9.06</v>
      </c>
      <c r="E172">
        <v>89</v>
      </c>
      <c r="F172" s="3">
        <v>9.6300000000000008</v>
      </c>
      <c r="G172">
        <v>0</v>
      </c>
    </row>
    <row r="173" spans="1:7" x14ac:dyDescent="0.3">
      <c r="A173" s="1">
        <v>46002</v>
      </c>
      <c r="B173" s="2">
        <v>0.91503472222222226</v>
      </c>
      <c r="C173">
        <v>94</v>
      </c>
      <c r="D173" s="3">
        <v>9.06</v>
      </c>
      <c r="E173">
        <v>89</v>
      </c>
      <c r="F173" s="3">
        <v>9.68</v>
      </c>
      <c r="G173">
        <v>0</v>
      </c>
    </row>
    <row r="174" spans="1:7" x14ac:dyDescent="0.3">
      <c r="A174" s="1">
        <v>46002</v>
      </c>
      <c r="B174" s="2">
        <v>0.93586805555555552</v>
      </c>
      <c r="C174">
        <v>94</v>
      </c>
      <c r="D174" s="3">
        <v>9.06</v>
      </c>
      <c r="E174">
        <v>89</v>
      </c>
      <c r="F174" s="3">
        <v>9.66</v>
      </c>
      <c r="G174">
        <v>0</v>
      </c>
    </row>
    <row r="175" spans="1:7" x14ac:dyDescent="0.3">
      <c r="A175" s="1">
        <v>46002</v>
      </c>
      <c r="B175" s="2">
        <v>0.94281250000000005</v>
      </c>
      <c r="C175">
        <v>94</v>
      </c>
      <c r="D175" s="3">
        <v>9.0500000000000007</v>
      </c>
      <c r="E175">
        <v>89</v>
      </c>
      <c r="F175" s="3">
        <v>9.61</v>
      </c>
      <c r="G175">
        <v>0</v>
      </c>
    </row>
    <row r="176" spans="1:7" x14ac:dyDescent="0.3">
      <c r="A176" s="1">
        <v>46002</v>
      </c>
      <c r="B176" s="2">
        <v>0.94975694444444447</v>
      </c>
      <c r="C176">
        <v>94</v>
      </c>
      <c r="D176" s="3">
        <v>9.0500000000000007</v>
      </c>
      <c r="E176">
        <v>89</v>
      </c>
      <c r="F176" s="3">
        <v>9.61</v>
      </c>
      <c r="G176">
        <v>0</v>
      </c>
    </row>
    <row r="177" spans="1:7" x14ac:dyDescent="0.3">
      <c r="A177" s="1">
        <v>46002</v>
      </c>
      <c r="B177" s="2">
        <v>0.95670138888888889</v>
      </c>
      <c r="C177">
        <v>93</v>
      </c>
      <c r="D177" s="3">
        <v>9.0399999999999991</v>
      </c>
      <c r="E177">
        <v>88</v>
      </c>
      <c r="F177" s="3">
        <v>9.68</v>
      </c>
      <c r="G177">
        <v>0</v>
      </c>
    </row>
    <row r="178" spans="1:7" x14ac:dyDescent="0.3">
      <c r="A178" s="1">
        <v>46002</v>
      </c>
      <c r="B178" s="2">
        <v>0.96364583333333331</v>
      </c>
      <c r="C178">
        <v>93</v>
      </c>
      <c r="D178" s="3">
        <v>9.02</v>
      </c>
      <c r="E178">
        <v>87</v>
      </c>
      <c r="F178" s="3">
        <v>9.75</v>
      </c>
      <c r="G178">
        <v>0</v>
      </c>
    </row>
    <row r="179" spans="1:7" x14ac:dyDescent="0.3">
      <c r="A179" s="1">
        <v>46002</v>
      </c>
      <c r="B179" s="2">
        <v>0.97753472222222226</v>
      </c>
      <c r="C179">
        <v>92</v>
      </c>
      <c r="D179" s="3">
        <v>9.0399999999999991</v>
      </c>
      <c r="E179">
        <v>88</v>
      </c>
      <c r="F179" s="3">
        <v>9.77</v>
      </c>
      <c r="G179">
        <v>0</v>
      </c>
    </row>
    <row r="180" spans="1:7" x14ac:dyDescent="0.3">
      <c r="A180" s="1">
        <v>46002</v>
      </c>
      <c r="B180" s="2">
        <v>0.98447916666666668</v>
      </c>
      <c r="C180">
        <v>92</v>
      </c>
      <c r="D180" s="3">
        <v>9.0399999999999991</v>
      </c>
      <c r="E180">
        <v>88</v>
      </c>
      <c r="F180" s="3">
        <v>9.7799999999999994</v>
      </c>
      <c r="G180">
        <v>0</v>
      </c>
    </row>
    <row r="181" spans="1:7" x14ac:dyDescent="0.3">
      <c r="A181" s="1">
        <v>46002</v>
      </c>
      <c r="B181" s="2">
        <v>0.99836805555555552</v>
      </c>
      <c r="C181">
        <v>92</v>
      </c>
      <c r="D181" s="3">
        <v>9.0399999999999991</v>
      </c>
      <c r="E181">
        <v>88</v>
      </c>
      <c r="F181" s="3">
        <v>9.82</v>
      </c>
      <c r="G181">
        <v>0</v>
      </c>
    </row>
    <row r="182" spans="1:7" x14ac:dyDescent="0.3">
      <c r="A182" s="1">
        <v>46003</v>
      </c>
      <c r="B182" s="2">
        <v>5.3125000000000004E-3</v>
      </c>
      <c r="C182">
        <v>92</v>
      </c>
      <c r="D182" s="3">
        <v>9.0299999999999994</v>
      </c>
      <c r="E182">
        <v>87</v>
      </c>
      <c r="F182" s="3">
        <v>9.82</v>
      </c>
      <c r="G182">
        <v>0</v>
      </c>
    </row>
    <row r="183" spans="1:7" x14ac:dyDescent="0.3">
      <c r="A183" s="1">
        <v>46003</v>
      </c>
      <c r="B183" s="2">
        <v>1.9201388888888889E-2</v>
      </c>
      <c r="C183">
        <v>92</v>
      </c>
      <c r="D183" s="3">
        <v>9.0299999999999994</v>
      </c>
      <c r="E183">
        <v>87</v>
      </c>
      <c r="F183" s="3">
        <v>9.84</v>
      </c>
      <c r="G183">
        <v>0</v>
      </c>
    </row>
    <row r="184" spans="1:7" x14ac:dyDescent="0.3">
      <c r="A184" s="1">
        <v>46003</v>
      </c>
      <c r="B184" s="2">
        <v>2.6145833333333333E-2</v>
      </c>
      <c r="C184">
        <v>92</v>
      </c>
      <c r="D184" s="3">
        <v>9.0399999999999991</v>
      </c>
      <c r="E184">
        <v>88</v>
      </c>
      <c r="F184" s="3">
        <v>9.8000000000000007</v>
      </c>
      <c r="G184">
        <v>0</v>
      </c>
    </row>
    <row r="185" spans="1:7" x14ac:dyDescent="0.3">
      <c r="A185" s="1">
        <v>46003</v>
      </c>
      <c r="B185" s="2">
        <v>3.3090277777777781E-2</v>
      </c>
      <c r="C185">
        <v>92</v>
      </c>
      <c r="D185" s="3">
        <v>9.0399999999999991</v>
      </c>
      <c r="E185">
        <v>88</v>
      </c>
      <c r="F185" s="3">
        <v>9.8000000000000007</v>
      </c>
      <c r="G185">
        <v>0</v>
      </c>
    </row>
    <row r="186" spans="1:7" x14ac:dyDescent="0.3">
      <c r="A186" s="1">
        <v>46003</v>
      </c>
      <c r="B186" s="2">
        <v>4.0034722222222222E-2</v>
      </c>
      <c r="C186">
        <v>93</v>
      </c>
      <c r="D186" s="3">
        <v>9.0500000000000007</v>
      </c>
      <c r="E186">
        <v>89</v>
      </c>
      <c r="F186" s="3">
        <v>9.76</v>
      </c>
      <c r="G186">
        <v>0</v>
      </c>
    </row>
    <row r="187" spans="1:7" x14ac:dyDescent="0.3">
      <c r="A187" s="1">
        <v>46003</v>
      </c>
      <c r="B187" s="2">
        <v>4.6979166666666669E-2</v>
      </c>
      <c r="C187">
        <v>93</v>
      </c>
      <c r="D187" s="3">
        <v>9.06</v>
      </c>
      <c r="E187">
        <v>89</v>
      </c>
      <c r="F187" s="3">
        <v>9.76</v>
      </c>
      <c r="G187">
        <v>0</v>
      </c>
    </row>
    <row r="188" spans="1:7" x14ac:dyDescent="0.3">
      <c r="A188" s="1">
        <v>46003</v>
      </c>
      <c r="B188" s="2">
        <v>5.392361111111111E-2</v>
      </c>
      <c r="C188">
        <v>93</v>
      </c>
      <c r="D188" s="3">
        <v>9.06</v>
      </c>
      <c r="E188">
        <v>89</v>
      </c>
      <c r="F188" s="3">
        <v>9.76</v>
      </c>
      <c r="G188">
        <v>0</v>
      </c>
    </row>
    <row r="189" spans="1:7" x14ac:dyDescent="0.3">
      <c r="A189" s="1">
        <v>46003</v>
      </c>
      <c r="B189" s="2">
        <v>6.0868055555555557E-2</v>
      </c>
      <c r="C189">
        <v>93</v>
      </c>
      <c r="D189" s="3">
        <v>9.06</v>
      </c>
      <c r="E189">
        <v>88</v>
      </c>
      <c r="F189" s="3">
        <v>9.8000000000000007</v>
      </c>
      <c r="G189">
        <v>0</v>
      </c>
    </row>
    <row r="190" spans="1:7" x14ac:dyDescent="0.3">
      <c r="A190" s="1">
        <v>46003</v>
      </c>
      <c r="B190" s="2">
        <v>6.7812499999999998E-2</v>
      </c>
      <c r="C190">
        <v>93</v>
      </c>
      <c r="D190" s="3">
        <v>9.0500000000000007</v>
      </c>
      <c r="E190">
        <v>89</v>
      </c>
      <c r="F190" s="3">
        <v>9.81</v>
      </c>
      <c r="G190">
        <v>0</v>
      </c>
    </row>
    <row r="191" spans="1:7" x14ac:dyDescent="0.3">
      <c r="A191" s="1">
        <v>46003</v>
      </c>
      <c r="B191" s="2">
        <v>7.4756944444444445E-2</v>
      </c>
      <c r="C191">
        <v>93</v>
      </c>
      <c r="D191" s="3">
        <v>9.0500000000000007</v>
      </c>
      <c r="E191">
        <v>88</v>
      </c>
      <c r="F191" s="3">
        <v>9.82</v>
      </c>
      <c r="G191">
        <v>0</v>
      </c>
    </row>
    <row r="192" spans="1:7" x14ac:dyDescent="0.3">
      <c r="A192" s="1">
        <v>46003</v>
      </c>
      <c r="B192" s="2">
        <v>8.1701388888888893E-2</v>
      </c>
      <c r="C192">
        <v>93</v>
      </c>
      <c r="D192" s="3">
        <v>9.06</v>
      </c>
      <c r="E192">
        <v>89</v>
      </c>
      <c r="F192" s="3">
        <v>9.81</v>
      </c>
      <c r="G192">
        <v>0</v>
      </c>
    </row>
    <row r="193" spans="1:7" x14ac:dyDescent="0.3">
      <c r="A193" s="1">
        <v>46003</v>
      </c>
      <c r="B193" s="2">
        <v>8.8645833333333326E-2</v>
      </c>
      <c r="C193">
        <v>93</v>
      </c>
      <c r="D193" s="3">
        <v>9.06</v>
      </c>
      <c r="E193">
        <v>89</v>
      </c>
      <c r="F193" s="3">
        <v>9.7799999999999994</v>
      </c>
      <c r="G193">
        <v>0</v>
      </c>
    </row>
    <row r="194" spans="1:7" x14ac:dyDescent="0.3">
      <c r="A194" s="1">
        <v>46003</v>
      </c>
      <c r="B194" s="2">
        <v>0.10253472222222222</v>
      </c>
      <c r="C194">
        <v>93</v>
      </c>
      <c r="D194" s="3">
        <v>9.07</v>
      </c>
      <c r="E194">
        <v>90</v>
      </c>
      <c r="F194" s="3">
        <v>9.6999999999999993</v>
      </c>
      <c r="G194">
        <v>0</v>
      </c>
    </row>
    <row r="195" spans="1:7" x14ac:dyDescent="0.3">
      <c r="A195" s="1">
        <v>46003</v>
      </c>
      <c r="B195" s="2">
        <v>0.11642361111111112</v>
      </c>
      <c r="C195">
        <v>94</v>
      </c>
      <c r="D195" s="3">
        <v>9.08</v>
      </c>
      <c r="E195">
        <v>91</v>
      </c>
      <c r="F195" s="3">
        <v>9.59</v>
      </c>
      <c r="G195">
        <v>0</v>
      </c>
    </row>
    <row r="196" spans="1:7" x14ac:dyDescent="0.3">
      <c r="A196" s="1">
        <v>46003</v>
      </c>
      <c r="B196" s="2">
        <v>0.1303125</v>
      </c>
      <c r="C196">
        <v>94</v>
      </c>
      <c r="D196" s="3">
        <v>9.08</v>
      </c>
      <c r="E196">
        <v>91</v>
      </c>
      <c r="F196" s="3">
        <v>9.57</v>
      </c>
      <c r="G196">
        <v>0</v>
      </c>
    </row>
    <row r="197" spans="1:7" x14ac:dyDescent="0.3">
      <c r="A197" s="1">
        <v>46003</v>
      </c>
      <c r="B197" s="2">
        <v>0.14420138888888889</v>
      </c>
      <c r="C197">
        <v>95</v>
      </c>
      <c r="D197" s="3">
        <v>9.08</v>
      </c>
      <c r="E197">
        <v>91</v>
      </c>
      <c r="F197" s="3">
        <v>9.5500000000000007</v>
      </c>
      <c r="G197">
        <v>0</v>
      </c>
    </row>
    <row r="198" spans="1:7" x14ac:dyDescent="0.3">
      <c r="A198" s="1">
        <v>46003</v>
      </c>
      <c r="B198" s="2">
        <v>0.15114583333333334</v>
      </c>
      <c r="C198">
        <v>95</v>
      </c>
      <c r="D198" s="3">
        <v>9.08</v>
      </c>
      <c r="E198">
        <v>91</v>
      </c>
      <c r="F198" s="3">
        <v>9.5399999999999991</v>
      </c>
      <c r="G198">
        <v>0</v>
      </c>
    </row>
    <row r="199" spans="1:7" x14ac:dyDescent="0.3">
      <c r="A199" s="1">
        <v>46003</v>
      </c>
      <c r="B199" s="2">
        <v>0.15809027777777779</v>
      </c>
      <c r="C199">
        <v>95</v>
      </c>
      <c r="D199" s="3">
        <v>9.08</v>
      </c>
      <c r="E199">
        <v>91</v>
      </c>
      <c r="F199" s="3">
        <v>9.5500000000000007</v>
      </c>
      <c r="G199">
        <v>0</v>
      </c>
    </row>
    <row r="200" spans="1:7" x14ac:dyDescent="0.3">
      <c r="A200" s="1">
        <v>46003</v>
      </c>
      <c r="B200" s="2">
        <v>0.17197916666666666</v>
      </c>
      <c r="C200">
        <v>95</v>
      </c>
      <c r="D200" s="3">
        <v>9.08</v>
      </c>
      <c r="E200">
        <v>91</v>
      </c>
      <c r="F200" s="3">
        <v>9.57</v>
      </c>
      <c r="G200">
        <v>0</v>
      </c>
    </row>
    <row r="201" spans="1:7" x14ac:dyDescent="0.3">
      <c r="A201" s="1">
        <v>46003</v>
      </c>
      <c r="B201" s="2">
        <v>0.18586805555555555</v>
      </c>
      <c r="C201">
        <v>94</v>
      </c>
      <c r="D201" s="3">
        <v>9.07</v>
      </c>
      <c r="E201">
        <v>90</v>
      </c>
      <c r="F201" s="3">
        <v>9.59</v>
      </c>
      <c r="G201">
        <v>0</v>
      </c>
    </row>
    <row r="202" spans="1:7" x14ac:dyDescent="0.3">
      <c r="A202" s="1">
        <v>46003</v>
      </c>
      <c r="B202" s="2">
        <v>0.19975694444444445</v>
      </c>
      <c r="C202">
        <v>94</v>
      </c>
      <c r="D202" s="3">
        <v>9.07</v>
      </c>
      <c r="E202">
        <v>90</v>
      </c>
      <c r="F202" s="3">
        <v>9.64</v>
      </c>
      <c r="G202">
        <v>0</v>
      </c>
    </row>
    <row r="203" spans="1:7" x14ac:dyDescent="0.3">
      <c r="A203" s="1">
        <v>46003</v>
      </c>
      <c r="B203" s="2">
        <v>0.23447916666666666</v>
      </c>
      <c r="C203">
        <v>93</v>
      </c>
      <c r="D203" s="3">
        <v>9.07</v>
      </c>
      <c r="E203">
        <v>88</v>
      </c>
      <c r="F203" s="3">
        <v>9.82</v>
      </c>
      <c r="G203">
        <v>0</v>
      </c>
    </row>
    <row r="204" spans="1:7" x14ac:dyDescent="0.3">
      <c r="A204" s="1">
        <v>46003</v>
      </c>
      <c r="B204" s="2">
        <v>0.2414236111111111</v>
      </c>
      <c r="C204">
        <v>93</v>
      </c>
      <c r="D204" s="3">
        <v>9.07</v>
      </c>
      <c r="E204">
        <v>87</v>
      </c>
      <c r="F204" s="3">
        <v>9.82</v>
      </c>
      <c r="G204">
        <v>0</v>
      </c>
    </row>
    <row r="205" spans="1:7" x14ac:dyDescent="0.3">
      <c r="A205" s="1">
        <v>46003</v>
      </c>
      <c r="B205" s="2">
        <v>0.24836805555555555</v>
      </c>
      <c r="C205">
        <v>93</v>
      </c>
      <c r="D205" s="3">
        <v>9.06</v>
      </c>
      <c r="E205">
        <v>87</v>
      </c>
      <c r="F205" s="3">
        <v>9.81</v>
      </c>
      <c r="G205">
        <v>0</v>
      </c>
    </row>
    <row r="206" spans="1:7" x14ac:dyDescent="0.3">
      <c r="A206" s="1">
        <v>46003</v>
      </c>
      <c r="B206" s="2">
        <v>0.2553125</v>
      </c>
      <c r="C206">
        <v>92</v>
      </c>
      <c r="D206" s="3">
        <v>9.07</v>
      </c>
      <c r="E206">
        <v>87</v>
      </c>
      <c r="F206" s="3">
        <v>9.83</v>
      </c>
      <c r="G206">
        <v>0</v>
      </c>
    </row>
    <row r="207" spans="1:7" x14ac:dyDescent="0.3">
      <c r="A207" s="1">
        <v>46003</v>
      </c>
      <c r="B207" s="2">
        <v>0.26920138888888889</v>
      </c>
      <c r="C207">
        <v>92</v>
      </c>
      <c r="D207" s="3">
        <v>9.07</v>
      </c>
      <c r="E207">
        <v>87</v>
      </c>
      <c r="F207" s="3">
        <v>9.7899999999999991</v>
      </c>
      <c r="G207">
        <v>0</v>
      </c>
    </row>
    <row r="208" spans="1:7" x14ac:dyDescent="0.3">
      <c r="A208" s="1">
        <v>46003</v>
      </c>
      <c r="B208" s="2">
        <v>0.27614583333333331</v>
      </c>
      <c r="C208">
        <v>92</v>
      </c>
      <c r="D208" s="3">
        <v>9.07</v>
      </c>
      <c r="E208">
        <v>87</v>
      </c>
      <c r="F208" s="3">
        <v>9.77</v>
      </c>
      <c r="G208">
        <v>0</v>
      </c>
    </row>
    <row r="209" spans="1:7" x14ac:dyDescent="0.3">
      <c r="A209" s="1">
        <v>46003</v>
      </c>
      <c r="B209" s="2">
        <v>0.28309027777777779</v>
      </c>
      <c r="C209">
        <v>92</v>
      </c>
      <c r="D209" s="3">
        <v>9.07</v>
      </c>
      <c r="E209">
        <v>87</v>
      </c>
      <c r="F209" s="3">
        <v>9.7799999999999994</v>
      </c>
      <c r="G209">
        <v>0</v>
      </c>
    </row>
    <row r="210" spans="1:7" x14ac:dyDescent="0.3">
      <c r="A210" s="1">
        <v>46003</v>
      </c>
      <c r="B210" s="2">
        <v>0.29003472222222221</v>
      </c>
      <c r="C210">
        <v>91</v>
      </c>
      <c r="D210" s="3">
        <v>9.06</v>
      </c>
      <c r="E210">
        <v>86</v>
      </c>
      <c r="F210" s="3">
        <v>9.77</v>
      </c>
      <c r="G210">
        <v>0</v>
      </c>
    </row>
    <row r="211" spans="1:7" x14ac:dyDescent="0.3">
      <c r="A211" s="1">
        <v>46003</v>
      </c>
      <c r="B211" s="2">
        <v>0.29697916666666668</v>
      </c>
      <c r="C211">
        <v>91</v>
      </c>
      <c r="D211" s="3">
        <v>9.06</v>
      </c>
      <c r="E211">
        <v>86</v>
      </c>
      <c r="F211" s="3">
        <v>9.73</v>
      </c>
      <c r="G211">
        <v>0</v>
      </c>
    </row>
    <row r="212" spans="1:7" x14ac:dyDescent="0.3">
      <c r="A212" s="1">
        <v>46003</v>
      </c>
      <c r="B212" s="2">
        <v>0.31086805555555558</v>
      </c>
      <c r="C212">
        <v>90</v>
      </c>
      <c r="D212" s="3">
        <v>9.0500000000000007</v>
      </c>
      <c r="E212">
        <v>85</v>
      </c>
      <c r="F212" s="3">
        <v>9.59</v>
      </c>
      <c r="G212">
        <v>0</v>
      </c>
    </row>
    <row r="213" spans="1:7" x14ac:dyDescent="0.3">
      <c r="A213" s="1">
        <v>46003</v>
      </c>
      <c r="B213" s="2">
        <v>0.3178125</v>
      </c>
      <c r="C213">
        <v>90</v>
      </c>
      <c r="D213" s="3">
        <v>9.0500000000000007</v>
      </c>
      <c r="E213">
        <v>86</v>
      </c>
      <c r="F213" s="3">
        <v>9.57</v>
      </c>
      <c r="G213">
        <v>0</v>
      </c>
    </row>
    <row r="214" spans="1:7" x14ac:dyDescent="0.3">
      <c r="A214" s="1">
        <v>46003</v>
      </c>
      <c r="B214" s="2">
        <v>0.32475694444444442</v>
      </c>
      <c r="C214">
        <v>90</v>
      </c>
      <c r="D214" s="3">
        <v>9.0500000000000007</v>
      </c>
      <c r="E214">
        <v>86</v>
      </c>
      <c r="F214" s="3">
        <v>9.41</v>
      </c>
      <c r="G214">
        <v>0</v>
      </c>
    </row>
    <row r="215" spans="1:7" x14ac:dyDescent="0.3">
      <c r="A215" s="1">
        <v>46003</v>
      </c>
      <c r="B215" s="2">
        <v>0.33864583333333331</v>
      </c>
      <c r="C215">
        <v>89</v>
      </c>
      <c r="D215" s="3">
        <v>9.06</v>
      </c>
      <c r="E215">
        <v>85</v>
      </c>
      <c r="F215" s="3">
        <v>9.51</v>
      </c>
      <c r="G215">
        <v>7</v>
      </c>
    </row>
    <row r="216" spans="1:7" x14ac:dyDescent="0.3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</row>
    <row r="217" spans="1:7" x14ac:dyDescent="0.3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</row>
    <row r="218" spans="1:7" x14ac:dyDescent="0.3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</row>
    <row r="219" spans="1:7" x14ac:dyDescent="0.3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</row>
    <row r="220" spans="1:7" x14ac:dyDescent="0.3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</row>
    <row r="221" spans="1:7" x14ac:dyDescent="0.3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</row>
    <row r="222" spans="1:7" x14ac:dyDescent="0.3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</row>
    <row r="223" spans="1:7" x14ac:dyDescent="0.3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</row>
    <row r="224" spans="1:7" x14ac:dyDescent="0.3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</row>
    <row r="225" spans="1:8" x14ac:dyDescent="0.3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</row>
    <row r="226" spans="1:8" x14ac:dyDescent="0.3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</row>
    <row r="227" spans="1:8" x14ac:dyDescent="0.3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</row>
    <row r="228" spans="1:8" x14ac:dyDescent="0.3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</row>
    <row r="229" spans="1:8" x14ac:dyDescent="0.3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</row>
    <row r="230" spans="1:8" x14ac:dyDescent="0.3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</row>
    <row r="231" spans="1:8" x14ac:dyDescent="0.3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</row>
    <row r="232" spans="1:8" x14ac:dyDescent="0.3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</row>
    <row r="233" spans="1:8" x14ac:dyDescent="0.3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</row>
    <row r="234" spans="1:8" x14ac:dyDescent="0.3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</row>
    <row r="235" spans="1:8" x14ac:dyDescent="0.3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</row>
    <row r="236" spans="1:8" x14ac:dyDescent="0.3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</row>
    <row r="237" spans="1:8" x14ac:dyDescent="0.3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</row>
    <row r="238" spans="1:8" x14ac:dyDescent="0.3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</row>
    <row r="239" spans="1:8" x14ac:dyDescent="0.3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</row>
    <row r="240" spans="1:8" x14ac:dyDescent="0.3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</row>
    <row r="241" spans="1:7" x14ac:dyDescent="0.3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</row>
    <row r="242" spans="1:7" x14ac:dyDescent="0.3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</row>
    <row r="243" spans="1:7" x14ac:dyDescent="0.3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</row>
    <row r="244" spans="1:7" x14ac:dyDescent="0.3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</row>
    <row r="245" spans="1:7" x14ac:dyDescent="0.3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</row>
    <row r="246" spans="1:7" x14ac:dyDescent="0.3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</row>
    <row r="247" spans="1:7" x14ac:dyDescent="0.3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</row>
    <row r="248" spans="1:7" x14ac:dyDescent="0.3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</row>
    <row r="249" spans="1:7" x14ac:dyDescent="0.3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</row>
    <row r="250" spans="1:7" x14ac:dyDescent="0.3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</row>
    <row r="251" spans="1:7" x14ac:dyDescent="0.3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</row>
    <row r="252" spans="1:7" x14ac:dyDescent="0.3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</row>
    <row r="253" spans="1:7" x14ac:dyDescent="0.3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</row>
    <row r="254" spans="1:7" x14ac:dyDescent="0.3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</row>
    <row r="255" spans="1:7" x14ac:dyDescent="0.3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</row>
    <row r="256" spans="1:7" x14ac:dyDescent="0.3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</row>
    <row r="257" spans="1:7" x14ac:dyDescent="0.3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</row>
    <row r="258" spans="1:7" x14ac:dyDescent="0.3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</row>
    <row r="259" spans="1:7" x14ac:dyDescent="0.3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</row>
    <row r="260" spans="1:7" x14ac:dyDescent="0.3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</row>
    <row r="261" spans="1:7" x14ac:dyDescent="0.3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</row>
    <row r="262" spans="1:7" x14ac:dyDescent="0.3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</row>
    <row r="263" spans="1:7" x14ac:dyDescent="0.3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</row>
    <row r="264" spans="1:7" x14ac:dyDescent="0.3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</row>
    <row r="265" spans="1:7" x14ac:dyDescent="0.3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</row>
    <row r="266" spans="1:7" x14ac:dyDescent="0.3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</row>
    <row r="267" spans="1:7" x14ac:dyDescent="0.3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</row>
    <row r="268" spans="1:7" x14ac:dyDescent="0.3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</row>
    <row r="269" spans="1:7" x14ac:dyDescent="0.3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</row>
    <row r="270" spans="1:7" x14ac:dyDescent="0.3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</row>
    <row r="271" spans="1:7" x14ac:dyDescent="0.3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</row>
    <row r="272" spans="1:7" x14ac:dyDescent="0.3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</row>
    <row r="273" spans="1:7" x14ac:dyDescent="0.3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</row>
    <row r="274" spans="1:7" x14ac:dyDescent="0.3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</row>
    <row r="275" spans="1:7" x14ac:dyDescent="0.3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</row>
    <row r="276" spans="1:7" x14ac:dyDescent="0.3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</row>
    <row r="277" spans="1:7" x14ac:dyDescent="0.3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</row>
    <row r="278" spans="1:7" x14ac:dyDescent="0.3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</row>
    <row r="279" spans="1:7" x14ac:dyDescent="0.3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</row>
    <row r="280" spans="1:7" x14ac:dyDescent="0.3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</row>
    <row r="281" spans="1:7" x14ac:dyDescent="0.3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</row>
    <row r="282" spans="1:7" x14ac:dyDescent="0.3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</row>
    <row r="283" spans="1:7" x14ac:dyDescent="0.3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</row>
    <row r="284" spans="1:7" x14ac:dyDescent="0.3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</row>
    <row r="285" spans="1:7" x14ac:dyDescent="0.3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</row>
    <row r="286" spans="1:7" x14ac:dyDescent="0.3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</row>
    <row r="287" spans="1:7" x14ac:dyDescent="0.3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</row>
    <row r="288" spans="1:7" x14ac:dyDescent="0.3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</row>
    <row r="289" spans="1:7" x14ac:dyDescent="0.3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</row>
    <row r="290" spans="1:7" x14ac:dyDescent="0.3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</row>
    <row r="291" spans="1:7" x14ac:dyDescent="0.3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</row>
    <row r="292" spans="1:7" x14ac:dyDescent="0.3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</row>
    <row r="293" spans="1:7" x14ac:dyDescent="0.3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</row>
    <row r="294" spans="1:7" x14ac:dyDescent="0.3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</row>
    <row r="295" spans="1:7" x14ac:dyDescent="0.3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</row>
    <row r="296" spans="1:7" x14ac:dyDescent="0.3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</row>
    <row r="297" spans="1:7" x14ac:dyDescent="0.3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</row>
    <row r="298" spans="1:7" x14ac:dyDescent="0.3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</row>
    <row r="299" spans="1:7" x14ac:dyDescent="0.3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445D-F484-44AC-A5F2-DFFACDE73081}">
  <dimension ref="A1:O25"/>
  <sheetViews>
    <sheetView topLeftCell="G1" workbookViewId="0">
      <selection activeCell="Y17" sqref="Y17"/>
    </sheetView>
  </sheetViews>
  <sheetFormatPr defaultRowHeight="14.4" x14ac:dyDescent="0.3"/>
  <cols>
    <col min="1" max="1" width="10.33203125" bestFit="1" customWidth="1"/>
    <col min="3" max="3" width="10.21875" bestFit="1" customWidth="1"/>
    <col min="10" max="10" width="10.77734375" style="7" bestFit="1" customWidth="1"/>
    <col min="11" max="12" width="8.88671875" style="6"/>
    <col min="13" max="13" width="8.88671875" style="11"/>
    <col min="14" max="14" width="9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s="7" t="s">
        <v>7</v>
      </c>
      <c r="K1" s="6" t="s">
        <v>32</v>
      </c>
      <c r="L1" s="6" t="s">
        <v>33</v>
      </c>
      <c r="M1" s="11" t="s">
        <v>34</v>
      </c>
      <c r="N1" t="s">
        <v>35</v>
      </c>
      <c r="O1" t="s">
        <v>36</v>
      </c>
    </row>
    <row r="2" spans="1:15" x14ac:dyDescent="0.3">
      <c r="A2" s="1">
        <v>46000</v>
      </c>
      <c r="B2" s="2">
        <v>0.76148148148148154</v>
      </c>
      <c r="C2">
        <v>115</v>
      </c>
      <c r="D2" s="3">
        <v>7.56</v>
      </c>
      <c r="E2">
        <v>98</v>
      </c>
      <c r="F2" s="3">
        <v>10</v>
      </c>
      <c r="G2">
        <v>0</v>
      </c>
      <c r="J2" s="7" t="s">
        <v>14</v>
      </c>
      <c r="K2" s="6" t="e">
        <f>AVERAGEIFS(C:C, $A:$A, "=" &amp; DATE(2025,12,9), $B:$B, "&gt;=" &amp; TIME(0,0,0), $B:$B, "&lt;" &amp; TIME(1,0,0))/10</f>
        <v>#DIV/0!</v>
      </c>
      <c r="L2" s="6" t="e">
        <f>AVERAGEIFS(E:E, $A:$A, "=" &amp; DATE(2025,12,9), $B:$B, "&gt;=" &amp; TIME(0,0,0), $B:$B, "&lt;" &amp; TIME(1,0,0))/10</f>
        <v>#DIV/0!</v>
      </c>
      <c r="M2" s="11" t="e">
        <f>AVERAGEIFS(D:D, $A:$A, "=" &amp; DATE(2025,12,9), $B:$B, "&gt;=" &amp; TIME(0,0,0), $B:$B, "&lt;" &amp; TIME(1,0,0))/10</f>
        <v>#DIV/0!</v>
      </c>
      <c r="N2" s="9" t="e">
        <f>AVERAGEIFS(F:F, $A:$A, "=" &amp; DATE(2025,12,9), $B:$B, "&gt;=" &amp; TIME(0,0,0), $B:$B, "&lt;" &amp; TIME(1,0,0))/10</f>
        <v>#DIV/0!</v>
      </c>
      <c r="O2" s="5" t="e">
        <f>AVERAGEIFS(G:G, $A:$A, "=" &amp; DATE(2025,12,9), $B:$B, "&gt;=" &amp; TIME(0,0,0), $B:$B, "&lt;" &amp; TIME(1,0,0))/10</f>
        <v>#DIV/0!</v>
      </c>
    </row>
    <row r="3" spans="1:15" x14ac:dyDescent="0.3">
      <c r="A3" s="1">
        <v>46000</v>
      </c>
      <c r="B3" s="2">
        <v>0.77337962962962958</v>
      </c>
      <c r="C3">
        <v>122</v>
      </c>
      <c r="D3" s="3">
        <v>9.2100000000000009</v>
      </c>
      <c r="E3">
        <v>105</v>
      </c>
      <c r="F3" s="3">
        <v>10</v>
      </c>
      <c r="G3">
        <v>0</v>
      </c>
      <c r="J3" s="7" t="s">
        <v>15</v>
      </c>
      <c r="K3" s="6" t="e">
        <f>AVERAGEIFS(C:C, $A:$A, "=" &amp; DATE(2025,12,9), $B:$B, "&gt;=" &amp; TIME(1,0,0), $B:$B, "&lt;" &amp; TIME(2,0,0))/10</f>
        <v>#DIV/0!</v>
      </c>
      <c r="L3" s="6" t="e">
        <f>AVERAGEIFS(E:E, $A:$A, "=" &amp; DATE(2025,12,9), $B:$B, "&gt;=" &amp; TIME(1,0,0), $B:$B, "&lt;" &amp; TIME(2,0,0))/10</f>
        <v>#DIV/0!</v>
      </c>
      <c r="M3" s="11" t="e">
        <f>AVERAGEIFS(D:D, $A:$A, "=" &amp; DATE(2025,12,9), $B:$B, "&gt;=" &amp; TIME(1,0,0), $B:$B, "&lt;" &amp; TIME(2,0,0))/10</f>
        <v>#DIV/0!</v>
      </c>
      <c r="N3" s="9" t="e">
        <f>AVERAGEIFS(F:F, $A:$A, "=" &amp; DATE(2025,12,9), $B:$B, "&gt;=" &amp; TIME(1,0,0), $B:$B, "&lt;" &amp; TIME(2,0,0))/10</f>
        <v>#DIV/0!</v>
      </c>
      <c r="O3" s="5" t="e">
        <f>AVERAGEIFS(G:G, $A:$A, "=" &amp; DATE(2025,12,9), $B:$B, "&gt;=" &amp; TIME(1,0,0), $B:$B, "&lt;" &amp; TIME(2,0,0))/10</f>
        <v>#DIV/0!</v>
      </c>
    </row>
    <row r="4" spans="1:15" x14ac:dyDescent="0.3">
      <c r="A4" s="1">
        <v>46000</v>
      </c>
      <c r="B4" s="2">
        <v>0.7795023148148148</v>
      </c>
      <c r="C4">
        <v>119</v>
      </c>
      <c r="D4" s="3">
        <v>8.91</v>
      </c>
      <c r="E4">
        <v>106</v>
      </c>
      <c r="F4" s="3">
        <v>10</v>
      </c>
      <c r="G4">
        <v>0</v>
      </c>
      <c r="J4" s="7" t="s">
        <v>16</v>
      </c>
      <c r="K4" s="6" t="e">
        <f>AVERAGEIFS(C:C, $A:$A, "=" &amp; DATE(2025,12,9), $B:$B, "&gt;=" &amp; TIME(2,0,0), $B:$B, "&lt;" &amp; TIME(3,0,0))/10</f>
        <v>#DIV/0!</v>
      </c>
      <c r="L4" s="6" t="e">
        <f>AVERAGEIFS(E:E, $A:$A, "=" &amp; DATE(2025,12,9), $B:$B, "&gt;=" &amp; TIME(2,0,0), $B:$B, "&lt;" &amp; TIME(3,0,0))/10</f>
        <v>#DIV/0!</v>
      </c>
      <c r="M4" s="11" t="e">
        <f>AVERAGEIFS(D:D, $A:$A, "=" &amp; DATE(2025,12,9), $B:$B, "&gt;=" &amp; TIME(2,0,0), $B:$B, "&lt;" &amp; TIME(3,0,0))/10</f>
        <v>#DIV/0!</v>
      </c>
      <c r="N4" s="9" t="e">
        <f>AVERAGEIFS(F:F, $A:$A, "=" &amp; DATE(2025,12,9), $B:$B, "&gt;=" &amp; TIME(2,0,0), $B:$B, "&lt;" &amp; TIME(3,0,0))/10</f>
        <v>#DIV/0!</v>
      </c>
      <c r="O4" s="5" t="e">
        <f>AVERAGEIFS(G:G, $A:$A, "=" &amp; DATE(2025,12,9), $B:$B, "&gt;=" &amp; TIME(2,0,0), $B:$B, "&lt;" &amp; TIME(3,0,0))/10</f>
        <v>#DIV/0!</v>
      </c>
    </row>
    <row r="5" spans="1:15" x14ac:dyDescent="0.3">
      <c r="A5" s="1">
        <v>46000</v>
      </c>
      <c r="B5" s="2">
        <v>0.78643518518518518</v>
      </c>
      <c r="C5">
        <v>119</v>
      </c>
      <c r="D5" s="3">
        <v>8.93</v>
      </c>
      <c r="E5">
        <v>107</v>
      </c>
      <c r="F5" s="3">
        <v>10</v>
      </c>
      <c r="G5">
        <v>0</v>
      </c>
      <c r="J5" s="7" t="s">
        <v>17</v>
      </c>
      <c r="K5" s="6" t="e">
        <f>AVERAGEIFS(C:C, $A:$A, "=" &amp; DATE(2025,12,9), $B:$B, "&gt;=" &amp; TIME(3,0,0), $B:$B, "&lt;" &amp; TIME(4,0,0))/10</f>
        <v>#DIV/0!</v>
      </c>
      <c r="L5" s="6" t="e">
        <f>AVERAGEIFS(E:E, $A:$A, "=" &amp; DATE(2025,12,9), $B:$B, "&gt;=" &amp; TIME(3,0,0), $B:$B, "&lt;" &amp; TIME(4,0,0))/10</f>
        <v>#DIV/0!</v>
      </c>
      <c r="M5" s="11" t="e">
        <f>AVERAGEIFS(D:D, $A:$A, "=" &amp; DATE(2025,12,9), $B:$B, "&gt;=" &amp; TIME(3,0,0), $B:$B, "&lt;" &amp; TIME(4,0,0))/10</f>
        <v>#DIV/0!</v>
      </c>
      <c r="N5" s="9" t="e">
        <f>AVERAGEIFS(F:F, $A:$A, "=" &amp; DATE(2025,12,9), $B:$B, "&gt;=" &amp; TIME(3,0,0), $B:$B, "&lt;" &amp; TIME(4,0,0))/10</f>
        <v>#DIV/0!</v>
      </c>
      <c r="O5" s="5" t="e">
        <f>AVERAGEIFS(G:G, $A:$A, "=" &amp; DATE(2025,12,9), $B:$B, "&gt;=" &amp; TIME(3,0,0), $B:$B, "&lt;" &amp; TIME(4,0,0))/10</f>
        <v>#DIV/0!</v>
      </c>
    </row>
    <row r="6" spans="1:15" x14ac:dyDescent="0.3">
      <c r="A6" s="1">
        <v>46000</v>
      </c>
      <c r="B6" s="2">
        <v>0.81859953703703703</v>
      </c>
      <c r="C6">
        <v>111</v>
      </c>
      <c r="D6" s="3">
        <v>8.9499999999999993</v>
      </c>
      <c r="E6">
        <v>102</v>
      </c>
      <c r="F6" s="3">
        <v>10</v>
      </c>
      <c r="G6">
        <v>0</v>
      </c>
      <c r="J6" s="7" t="s">
        <v>18</v>
      </c>
      <c r="K6" s="6" t="e">
        <f>AVERAGEIFS(C:C, $A:$A, "=" &amp; DATE(2025,12,9), $B:$B, "&gt;=" &amp; TIME(4,0,0), $B:$B, "&lt;" &amp; TIME(5,0,0))/10</f>
        <v>#DIV/0!</v>
      </c>
      <c r="L6" s="6" t="e">
        <f>AVERAGEIFS(E:E, $A:$A, "=" &amp; DATE(2025,12,9), $B:$B, "&gt;=" &amp; TIME(4,0,0), $B:$B, "&lt;" &amp; TIME(5,0,0))/10</f>
        <v>#DIV/0!</v>
      </c>
      <c r="M6" s="11" t="e">
        <f>AVERAGEIFS(D:D, $A:$A, "=" &amp; DATE(2025,12,9), $B:$B, "&gt;=" &amp; TIME(4,0,0), $B:$B, "&lt;" &amp; TIME(5,0,0))/10</f>
        <v>#DIV/0!</v>
      </c>
      <c r="N6" s="9" t="e">
        <f>AVERAGEIFS(F:F, $A:$A, "=" &amp; DATE(2025,12,9), $B:$B, "&gt;=" &amp; TIME(4,0,0), $B:$B, "&lt;" &amp; TIME(5,0,0))/10</f>
        <v>#DIV/0!</v>
      </c>
      <c r="O6" s="5" t="e">
        <f>AVERAGEIFS(G:G, $A:$A, "=" &amp; DATE(2025,12,9), $B:$B, "&gt;=" &amp; TIME(4,0,0), $B:$B, "&lt;" &amp; TIME(5,0,0))/10</f>
        <v>#DIV/0!</v>
      </c>
    </row>
    <row r="7" spans="1:15" x14ac:dyDescent="0.3">
      <c r="A7" s="1">
        <v>46000</v>
      </c>
      <c r="B7" s="2">
        <v>0.82553240740740741</v>
      </c>
      <c r="C7">
        <v>112</v>
      </c>
      <c r="D7" s="3">
        <v>9.59</v>
      </c>
      <c r="E7">
        <v>106</v>
      </c>
      <c r="F7" s="3">
        <v>10</v>
      </c>
      <c r="G7">
        <v>0</v>
      </c>
      <c r="J7" s="7" t="s">
        <v>19</v>
      </c>
      <c r="K7" s="6" t="e">
        <f>AVERAGEIFS(C:C, $A:$A, "=" &amp; DATE(2025,12,9), $B:$B, "&gt;=" &amp; TIME(5,0,0), $B:$B, "&lt;" &amp; TIME(6,0,0))/10</f>
        <v>#DIV/0!</v>
      </c>
      <c r="L7" s="6" t="e">
        <f>AVERAGEIFS(E:E, $A:$A, "=" &amp; DATE(2025,12,9), $B:$B, "&gt;=" &amp; TIME(5,0,0), $B:$B, "&lt;" &amp; TIME(6,0,0))/10</f>
        <v>#DIV/0!</v>
      </c>
      <c r="M7" s="11" t="e">
        <f>AVERAGEIFS(D:D, $A:$A, "=" &amp; DATE(2025,12,9), $B:$B, "&gt;=" &amp; TIME(5,0,0), $B:$B, "&lt;" &amp; TIME(6,0,0))/10</f>
        <v>#DIV/0!</v>
      </c>
      <c r="N7" s="9" t="e">
        <f>AVERAGEIFS(F:F, $A:$A, "=" &amp; DATE(2025,12,9), $B:$B, "&gt;=" &amp; TIME(5,0,0), $B:$B, "&lt;" &amp; TIME(6,0,0))/10</f>
        <v>#DIV/0!</v>
      </c>
      <c r="O7" s="5" t="e">
        <f>AVERAGEIFS(G:G, $A:$A, "=" &amp; DATE(2025,12,9), $B:$B, "&gt;=" &amp; TIME(5,0,0), $B:$B, "&lt;" &amp; TIME(6,0,0))/10</f>
        <v>#DIV/0!</v>
      </c>
    </row>
    <row r="8" spans="1:15" x14ac:dyDescent="0.3">
      <c r="A8" s="1">
        <v>46000</v>
      </c>
      <c r="B8" s="2">
        <v>0.83942129629629625</v>
      </c>
      <c r="C8">
        <v>110</v>
      </c>
      <c r="D8" s="3">
        <v>8.19</v>
      </c>
      <c r="E8">
        <v>100</v>
      </c>
      <c r="F8" s="3">
        <v>10</v>
      </c>
      <c r="G8">
        <v>0</v>
      </c>
      <c r="J8" s="7" t="s">
        <v>20</v>
      </c>
      <c r="K8" s="6" t="e">
        <f>AVERAGEIFS(C:C, $A:$A, "=" &amp; DATE(2025,12,9), $B:$B, "&gt;=" &amp; TIME(6,0,0), $B:$B, "&lt;" &amp; TIME(7,0,0))/10</f>
        <v>#DIV/0!</v>
      </c>
      <c r="L8" s="6" t="e">
        <f>AVERAGEIFS(E:E, $A:$A, "=" &amp; DATE(2025,12,9), $B:$B, "&gt;=" &amp; TIME(6,0,0), $B:$B, "&lt;" &amp; TIME(7,0,0))/10</f>
        <v>#DIV/0!</v>
      </c>
      <c r="M8" s="11" t="e">
        <f>AVERAGEIFS(D:D, $A:$A, "=" &amp; DATE(2025,12,9), $B:$B, "&gt;=" &amp; TIME(6,0,0), $B:$B, "&lt;" &amp; TIME(7,0,0))/10</f>
        <v>#DIV/0!</v>
      </c>
      <c r="N8" s="9" t="e">
        <f>AVERAGEIFS(F:F, $A:$A, "=" &amp; DATE(2025,12,9), $B:$B, "&gt;=" &amp; TIME(6,0,0), $B:$B, "&lt;" &amp; TIME(7,0,0))/10</f>
        <v>#DIV/0!</v>
      </c>
      <c r="O8" s="5" t="e">
        <f>AVERAGEIFS(G:G, $A:$A, "=" &amp; DATE(2025,12,9), $B:$B, "&gt;=" &amp; TIME(6,0,0), $B:$B, "&lt;" &amp; TIME(7,0,0))/10</f>
        <v>#DIV/0!</v>
      </c>
    </row>
    <row r="9" spans="1:15" x14ac:dyDescent="0.3">
      <c r="A9" s="1">
        <v>46000</v>
      </c>
      <c r="B9" s="2">
        <v>0.84636574074074078</v>
      </c>
      <c r="C9">
        <v>109</v>
      </c>
      <c r="D9" s="3">
        <v>8.1199999999999992</v>
      </c>
      <c r="E9">
        <v>99</v>
      </c>
      <c r="F9" s="3">
        <v>10</v>
      </c>
      <c r="G9">
        <v>0</v>
      </c>
      <c r="J9" s="7" t="s">
        <v>21</v>
      </c>
      <c r="K9" s="6" t="e">
        <f>AVERAGEIFS(C:C, $A:$A, "=" &amp; DATE(2025,12,9), $B:$B, "&gt;=" &amp; TIME(7,0,0), $B:$B, "&lt;" &amp; TIME(8,0,0))/10</f>
        <v>#DIV/0!</v>
      </c>
      <c r="L9" s="6" t="e">
        <f>AVERAGEIFS(E:E, $A:$A, "=" &amp; DATE(2025,12,9), $B:$B, "&gt;=" &amp; TIME(7,0,0), $B:$B, "&lt;" &amp; TIME(8,0,0))/10</f>
        <v>#DIV/0!</v>
      </c>
      <c r="M9" s="11" t="e">
        <f>AVERAGEIFS(D:D, $A:$A, "=" &amp; DATE(2025,12,9), $B:$B, "&gt;=" &amp; TIME(7,0,0), $B:$B, "&lt;" &amp; TIME(8,0,0))/10</f>
        <v>#DIV/0!</v>
      </c>
      <c r="N9" s="9" t="e">
        <f>AVERAGEIFS(F:F, $A:$A, "=" &amp; DATE(2025,12,9), $B:$B, "&gt;=" &amp; TIME(7,0,0), $B:$B, "&lt;" &amp; TIME(8,0,0))/10</f>
        <v>#DIV/0!</v>
      </c>
      <c r="O9" s="5" t="e">
        <f>AVERAGEIFS(G:G, $A:$A, "=" &amp; DATE(2025,12,9), $B:$B, "&gt;=" &amp; TIME(7,0,0), $B:$B, "&lt;" &amp; TIME(8,0,0))/10</f>
        <v>#DIV/0!</v>
      </c>
    </row>
    <row r="10" spans="1:15" x14ac:dyDescent="0.3">
      <c r="A10" s="1">
        <v>46000</v>
      </c>
      <c r="B10" s="2">
        <v>0.86719907407407404</v>
      </c>
      <c r="C10">
        <v>107</v>
      </c>
      <c r="D10" s="3">
        <v>8.07</v>
      </c>
      <c r="E10">
        <v>99</v>
      </c>
      <c r="F10" s="3">
        <v>10</v>
      </c>
      <c r="G10">
        <v>0</v>
      </c>
      <c r="J10" s="7" t="s">
        <v>22</v>
      </c>
      <c r="K10" s="6" t="e">
        <f>AVERAGEIFS(C:C, $A:$A, "=" &amp; DATE(2025,12,9), $B:$B, "&gt;=" &amp; TIME(8,0,0), $B:$B, "&lt;" &amp; TIME(9,0,0))/10</f>
        <v>#DIV/0!</v>
      </c>
      <c r="L10" s="6" t="e">
        <f>AVERAGEIFS(E:E, $A:$A, "=" &amp; DATE(2025,12,9), $B:$B, "&gt;=" &amp; TIME(8,0,0), $B:$B, "&lt;" &amp; TIME(9,0,0))/10</f>
        <v>#DIV/0!</v>
      </c>
      <c r="M10" s="11" t="e">
        <f>AVERAGEIFS(D:D, $A:$A, "=" &amp; DATE(2025,12,9), $B:$B, "&gt;=" &amp; TIME(8,0,0), $B:$B, "&lt;" &amp; TIME(9,0,0))/10</f>
        <v>#DIV/0!</v>
      </c>
      <c r="N10" s="9" t="e">
        <f>AVERAGEIFS(F:F, $A:$A, "=" &amp; DATE(2025,12,9), $B:$B, "&gt;=" &amp; TIME(8,0,0), $B:$B, "&lt;" &amp; TIME(9,0,0))/10</f>
        <v>#DIV/0!</v>
      </c>
      <c r="O10" s="5" t="e">
        <f>AVERAGEIFS(G:G, $A:$A, "=" &amp; DATE(2025,12,9), $B:$B, "&gt;=" &amp; TIME(8,0,0), $B:$B, "&lt;" &amp; TIME(9,0,0))/10</f>
        <v>#DIV/0!</v>
      </c>
    </row>
    <row r="11" spans="1:15" x14ac:dyDescent="0.3">
      <c r="A11" s="1">
        <v>46000</v>
      </c>
      <c r="B11" s="2">
        <v>0.87414351851851857</v>
      </c>
      <c r="C11">
        <v>107</v>
      </c>
      <c r="D11" s="3">
        <v>8.06</v>
      </c>
      <c r="E11">
        <v>99</v>
      </c>
      <c r="F11" s="3">
        <v>10</v>
      </c>
      <c r="G11">
        <v>0</v>
      </c>
      <c r="J11" s="7" t="s">
        <v>23</v>
      </c>
      <c r="K11" s="6" t="e">
        <f>AVERAGEIFS(C:C, $A:$A, "=" &amp; DATE(2025,12,9), $B:$B, "&gt;=" &amp; TIME(9,0,0), $B:$B, "&lt;" &amp; TIME(10,0,0))/10</f>
        <v>#DIV/0!</v>
      </c>
      <c r="L11" s="6" t="e">
        <f>AVERAGEIFS(E:E, $A:$A, "=" &amp; DATE(2025,12,9), $B:$B, "&gt;=" &amp; TIME(9,0,0), $B:$B, "&lt;" &amp; TIME(10,0,0))/10</f>
        <v>#DIV/0!</v>
      </c>
      <c r="M11" s="11" t="e">
        <f>AVERAGEIFS(D:D, $A:$A, "=" &amp; DATE(2025,12,9), $B:$B, "&gt;=" &amp; TIME(9,0,0), $B:$B, "&lt;" &amp; TIME(10,0,0))/10</f>
        <v>#DIV/0!</v>
      </c>
      <c r="N11" s="9" t="e">
        <f>AVERAGEIFS(F:F, $A:$A, "=" &amp; DATE(2025,12,9), $B:$B, "&gt;=" &amp; TIME(9,0,0), $B:$B, "&lt;" &amp; TIME(10,0,0))/10</f>
        <v>#DIV/0!</v>
      </c>
      <c r="O11" s="5" t="e">
        <f>AVERAGEIFS(G:G, $A:$A, "=" &amp; DATE(2025,12,9), $B:$B, "&gt;=" &amp; TIME(9,0,0), $B:$B, "&lt;" &amp; TIME(10,0,0))/10</f>
        <v>#DIV/0!</v>
      </c>
    </row>
    <row r="12" spans="1:15" x14ac:dyDescent="0.3">
      <c r="A12" s="1">
        <v>46000</v>
      </c>
      <c r="B12" s="2">
        <v>0.88108796296296299</v>
      </c>
      <c r="C12">
        <v>107</v>
      </c>
      <c r="D12" s="3">
        <v>8.0500000000000007</v>
      </c>
      <c r="E12">
        <v>99</v>
      </c>
      <c r="F12" s="3">
        <v>10</v>
      </c>
      <c r="G12">
        <v>0</v>
      </c>
      <c r="J12" s="7" t="s">
        <v>24</v>
      </c>
      <c r="K12" s="6" t="e">
        <f>AVERAGEIFS(C:C, $A:$A, "=" &amp; DATE(2025,12,9), $B:$B, "&gt;=" &amp; TIME(10,0,0), $B:$B, "&lt;" &amp; TIME(11,0,0))/10</f>
        <v>#DIV/0!</v>
      </c>
      <c r="L12" s="6" t="e">
        <f>AVERAGEIFS(E:E, $A:$A, "=" &amp; DATE(2025,12,9), $B:$B, "&gt;=" &amp; TIME(10,0,0), $B:$B, "&lt;" &amp; TIME(11,0,0))/10</f>
        <v>#DIV/0!</v>
      </c>
      <c r="M12" s="11" t="e">
        <f>AVERAGEIFS(D:D, $A:$A, "=" &amp; DATE(2025,12,9), $B:$B, "&gt;=" &amp; TIME(10,0,0), $B:$B, "&lt;" &amp; TIME(11,0,0))/10</f>
        <v>#DIV/0!</v>
      </c>
      <c r="N12" s="9" t="e">
        <f>AVERAGEIFS(F:F, $A:$A, "=" &amp; DATE(2025,12,9), $B:$B, "&gt;=" &amp; TIME(10,0,0), $B:$B, "&lt;" &amp; TIME(11,0,0))/10</f>
        <v>#DIV/0!</v>
      </c>
      <c r="O12" s="5" t="e">
        <f>AVERAGEIFS(G:G, $A:$A, "=" &amp; DATE(2025,12,9), $B:$B, "&gt;=" &amp; TIME(10,0,0), $B:$B, "&lt;" &amp; TIME(11,0,0))/10</f>
        <v>#DIV/0!</v>
      </c>
    </row>
    <row r="13" spans="1:15" x14ac:dyDescent="0.3">
      <c r="A13" s="1">
        <v>46000</v>
      </c>
      <c r="B13" s="2">
        <v>0.88803240740740741</v>
      </c>
      <c r="C13">
        <v>107</v>
      </c>
      <c r="D13" s="3">
        <v>8.0500000000000007</v>
      </c>
      <c r="E13">
        <v>99</v>
      </c>
      <c r="F13" s="3">
        <v>10</v>
      </c>
      <c r="G13">
        <v>0</v>
      </c>
      <c r="J13" s="7" t="s">
        <v>25</v>
      </c>
      <c r="K13" s="6" t="e">
        <f>AVERAGEIFS(C:C, $A:$A, "=" &amp; DATE(2025,12,9), $B:$B, "&gt;=" &amp; TIME(11,0,0), $B:$B, "&lt;" &amp; TIME(12,0,0))/10</f>
        <v>#DIV/0!</v>
      </c>
      <c r="L13" s="6" t="e">
        <f>AVERAGEIFS(E:E, $A:$A, "=" &amp; DATE(2025,12,9), $B:$B, "&gt;=" &amp; TIME(11,0,0), $B:$B, "&lt;" &amp; TIME(12,0,0))/10</f>
        <v>#DIV/0!</v>
      </c>
      <c r="M13" s="11" t="e">
        <f>AVERAGEIFS(D:D, $A:$A, "=" &amp; DATE(2025,12,9), $B:$B, "&gt;=" &amp; TIME(11,0,0), $B:$B, "&lt;" &amp; TIME(12,0,0))/10</f>
        <v>#DIV/0!</v>
      </c>
      <c r="N13" s="9" t="e">
        <f>AVERAGEIFS(F:F, $A:$A, "=" &amp; DATE(2025,12,9), $B:$B, "&gt;=" &amp; TIME(11,0,0), $B:$B, "&lt;" &amp; TIME(12,0,0))/10</f>
        <v>#DIV/0!</v>
      </c>
      <c r="O13" s="5" t="e">
        <f>AVERAGEIFS(G:G, $A:$A, "=" &amp; DATE(2025,12,9), $B:$B, "&gt;=" &amp; TIME(11,0,0), $B:$B, "&lt;" &amp; TIME(12,0,0))/10</f>
        <v>#DIV/0!</v>
      </c>
    </row>
    <row r="14" spans="1:15" x14ac:dyDescent="0.3">
      <c r="A14" s="1">
        <v>46000</v>
      </c>
      <c r="B14" s="2">
        <v>0.90886574074074078</v>
      </c>
      <c r="C14">
        <v>107</v>
      </c>
      <c r="D14" s="3">
        <v>8.0500000000000007</v>
      </c>
      <c r="E14">
        <v>99</v>
      </c>
      <c r="F14" s="3">
        <v>10</v>
      </c>
      <c r="G14">
        <v>0</v>
      </c>
      <c r="J14" s="7" t="s">
        <v>26</v>
      </c>
      <c r="K14" s="6" t="e">
        <f>AVERAGEIFS(C:C, $A:$A, "=" &amp; DATE(2025,12,9), $B:$B, "&gt;=" &amp; TIME(12,0,0), $B:$B, "&lt;" &amp; TIME(13,0,0))/10</f>
        <v>#DIV/0!</v>
      </c>
      <c r="L14" s="6" t="e">
        <f>AVERAGEIFS(E:E, $A:$A, "=" &amp; DATE(2025,12,9), $B:$B, "&gt;=" &amp; TIME(12,0,0), $B:$B, "&lt;" &amp; TIME(13,0,0))/10</f>
        <v>#DIV/0!</v>
      </c>
      <c r="M14" s="11" t="e">
        <f>AVERAGEIFS(D:D, $A:$A, "=" &amp; DATE(2025,12,9), $B:$B, "&gt;=" &amp; TIME(12,0,0), $B:$B, "&lt;" &amp; TIME(13,0,0))/10</f>
        <v>#DIV/0!</v>
      </c>
      <c r="N14" s="9" t="e">
        <f>AVERAGEIFS(F:F, $A:$A, "=" &amp; DATE(2025,12,9), $B:$B, "&gt;=" &amp; TIME(12,0,0), $B:$B, "&lt;" &amp; TIME(13,0,0))/10</f>
        <v>#DIV/0!</v>
      </c>
      <c r="O14" s="5" t="e">
        <f>AVERAGEIFS(G:G, $A:$A, "=" &amp; DATE(2025,12,9), $B:$B, "&gt;=" &amp; TIME(12,0,0), $B:$B, "&lt;" &amp; TIME(13,0,0))/10</f>
        <v>#DIV/0!</v>
      </c>
    </row>
    <row r="15" spans="1:15" x14ac:dyDescent="0.3">
      <c r="A15" s="1">
        <v>46000</v>
      </c>
      <c r="B15" s="2">
        <v>0.9158101851851852</v>
      </c>
      <c r="C15">
        <v>107</v>
      </c>
      <c r="D15" s="3">
        <v>8.06</v>
      </c>
      <c r="E15">
        <v>99</v>
      </c>
      <c r="F15" s="3">
        <v>10</v>
      </c>
      <c r="G15">
        <v>0</v>
      </c>
      <c r="J15" s="7" t="s">
        <v>27</v>
      </c>
      <c r="K15" s="6" t="e">
        <f>AVERAGEIFS(C:C, $A:$A, "=" &amp; DATE(2025,12,9), $B:$B, "&gt;=" &amp; TIME(13,0,0), $B:$B, "&lt;" &amp; TIME(14,0,0))/10</f>
        <v>#DIV/0!</v>
      </c>
      <c r="L15" s="6" t="e">
        <f>AVERAGEIFS(E:E, $A:$A, "=" &amp; DATE(2025,12,9), $B:$B, "&gt;=" &amp; TIME(13,0,0), $B:$B, "&lt;" &amp; TIME(14,0,0))/10</f>
        <v>#DIV/0!</v>
      </c>
      <c r="M15" s="11" t="e">
        <f>AVERAGEIFS(D:D, $A:$A, "=" &amp; DATE(2025,12,9), $B:$B, "&gt;=" &amp; TIME(13,0,0), $B:$B, "&lt;" &amp; TIME(14,0,0))/10</f>
        <v>#DIV/0!</v>
      </c>
      <c r="N15" s="9" t="e">
        <f>AVERAGEIFS(F:F, $A:$A, "=" &amp; DATE(2025,12,9), $B:$B, "&gt;=" &amp; TIME(13,0,0), $B:$B, "&lt;" &amp; TIME(14,0,0))/10</f>
        <v>#DIV/0!</v>
      </c>
      <c r="O15" s="5" t="e">
        <f>AVERAGEIFS(G:G, $A:$A, "=" &amp; DATE(2025,12,9), $B:$B, "&gt;=" &amp; TIME(13,0,0), $B:$B, "&lt;" &amp; TIME(14,0,0))/10</f>
        <v>#DIV/0!</v>
      </c>
    </row>
    <row r="16" spans="1:15" x14ac:dyDescent="0.3">
      <c r="A16" s="1">
        <v>46000</v>
      </c>
      <c r="B16" s="2">
        <v>0.92275462962962962</v>
      </c>
      <c r="C16">
        <v>107</v>
      </c>
      <c r="D16" s="3">
        <v>8.07</v>
      </c>
      <c r="E16">
        <v>100</v>
      </c>
      <c r="F16" s="3">
        <v>10</v>
      </c>
      <c r="G16">
        <v>0</v>
      </c>
      <c r="J16" s="7" t="s">
        <v>28</v>
      </c>
      <c r="K16" s="6" t="e">
        <f>AVERAGEIFS(C:C, $A:$A, "=" &amp; DATE(2025,12,9), $B:$B, "&gt;=" &amp; TIME(14,0,0), $B:$B, "&lt;" &amp; TIME(15,0,0))/10</f>
        <v>#DIV/0!</v>
      </c>
      <c r="L16" s="6" t="e">
        <f>AVERAGEIFS(E:E, $A:$A, "=" &amp; DATE(2025,12,9), $B:$B, "&gt;=" &amp; TIME(14,0,0), $B:$B, "&lt;" &amp; TIME(15,0,0))/10</f>
        <v>#DIV/0!</v>
      </c>
      <c r="M16" s="11" t="e">
        <f>AVERAGEIFS(D:D, $A:$A, "=" &amp; DATE(2025,12,9), $B:$B, "&gt;=" &amp; TIME(14,0,0), $B:$B, "&lt;" &amp; TIME(15,0,0))/10</f>
        <v>#DIV/0!</v>
      </c>
      <c r="N16" s="9" t="e">
        <f>AVERAGEIFS(F:F, $A:$A, "=" &amp; DATE(2025,12,9), $B:$B, "&gt;=" &amp; TIME(14,0,0), $B:$B, "&lt;" &amp; TIME(15,0,0))/10</f>
        <v>#DIV/0!</v>
      </c>
      <c r="O16" s="5" t="e">
        <f>AVERAGEIFS(G:G, $A:$A, "=" &amp; DATE(2025,12,9), $B:$B, "&gt;=" &amp; TIME(14,0,0), $B:$B, "&lt;" &amp; TIME(15,0,0))/10</f>
        <v>#DIV/0!</v>
      </c>
    </row>
    <row r="17" spans="1:15" x14ac:dyDescent="0.3">
      <c r="A17" s="1">
        <v>46000</v>
      </c>
      <c r="B17" s="2">
        <v>0.93664351851851857</v>
      </c>
      <c r="C17">
        <v>107</v>
      </c>
      <c r="D17" s="3">
        <v>8.07</v>
      </c>
      <c r="E17">
        <v>100</v>
      </c>
      <c r="F17" s="3">
        <v>10</v>
      </c>
      <c r="G17">
        <v>0</v>
      </c>
      <c r="J17" s="7" t="s">
        <v>29</v>
      </c>
      <c r="K17" s="6" t="e">
        <f>AVERAGEIFS(C:C, $A:$A, "=" &amp; DATE(2025,12,9), $B:$B, "&gt;=" &amp; TIME(15,0,0), $B:$B, "&lt;" &amp; TIME(16,0,0))/10</f>
        <v>#DIV/0!</v>
      </c>
      <c r="L17" s="6" t="e">
        <f>AVERAGEIFS(E:E, $A:$A, "=" &amp; DATE(2025,12,9), $B:$B, "&gt;=" &amp; TIME(15,0,0), $B:$B, "&lt;" &amp; TIME(16,0,0))/10</f>
        <v>#DIV/0!</v>
      </c>
      <c r="M17" s="11" t="e">
        <f>AVERAGEIFS(D:D, $A:$A, "=" &amp; DATE(2025,12,9), $B:$B, "&gt;=" &amp; TIME(15,0,0), $B:$B, "&lt;" &amp; TIME(16,0,0))/10</f>
        <v>#DIV/0!</v>
      </c>
      <c r="N17" s="9" t="e">
        <f>AVERAGEIFS(F:F, $A:$A, "=" &amp; DATE(2025,12,9), $B:$B, "&gt;=" &amp; TIME(15,0,0), $B:$B, "&lt;" &amp; TIME(16,0,0))/10</f>
        <v>#DIV/0!</v>
      </c>
      <c r="O17" s="5" t="e">
        <f>AVERAGEIFS(G:G, $A:$A, "=" &amp; DATE(2025,12,9), $B:$B, "&gt;=" &amp; TIME(15,0,0), $B:$B, "&lt;" &amp; TIME(16,0,0))/10</f>
        <v>#DIV/0!</v>
      </c>
    </row>
    <row r="18" spans="1:15" x14ac:dyDescent="0.3">
      <c r="A18" s="1">
        <v>46000</v>
      </c>
      <c r="B18" s="2">
        <v>0.95747685185185183</v>
      </c>
      <c r="C18">
        <v>108</v>
      </c>
      <c r="D18" s="3">
        <v>8.1199999999999992</v>
      </c>
      <c r="E18">
        <v>101</v>
      </c>
      <c r="F18" s="3">
        <v>10</v>
      </c>
      <c r="G18">
        <v>0</v>
      </c>
      <c r="J18" s="7" t="s">
        <v>30</v>
      </c>
      <c r="K18" s="6" t="e">
        <f>AVERAGEIFS(C:C, $A:$A, "=" &amp; DATE(2025,12,9), $B:$B, "&gt;=" &amp; TIME(16,0,0), $B:$B, "&lt;" &amp; TIME(17,0,0))/10</f>
        <v>#DIV/0!</v>
      </c>
      <c r="L18" s="6" t="e">
        <f>AVERAGEIFS(E:E, $A:$A, "=" &amp; DATE(2025,12,9), $B:$B, "&gt;=" &amp; TIME(16,0,0), $B:$B, "&lt;" &amp; TIME(17,0,0))/10</f>
        <v>#DIV/0!</v>
      </c>
      <c r="M18" s="11" t="e">
        <f>AVERAGEIFS(D:D, $A:$A, "=" &amp; DATE(2025,12,9), $B:$B, "&gt;=" &amp; TIME(16,0,0), $B:$B, "&lt;" &amp; TIME(17,0,0))/10</f>
        <v>#DIV/0!</v>
      </c>
      <c r="N18" s="9" t="e">
        <f>AVERAGEIFS(F:F, $A:$A, "=" &amp; DATE(2025,12,9), $B:$B, "&gt;=" &amp; TIME(16,0,0), $B:$B, "&lt;" &amp; TIME(17,0,0))/10</f>
        <v>#DIV/0!</v>
      </c>
      <c r="O18" s="5" t="e">
        <f>AVERAGEIFS(G:G, $A:$A, "=" &amp; DATE(2025,12,9), $B:$B, "&gt;=" &amp; TIME(16,0,0), $B:$B, "&lt;" &amp; TIME(17,0,0))/10</f>
        <v>#DIV/0!</v>
      </c>
    </row>
    <row r="19" spans="1:15" x14ac:dyDescent="0.3">
      <c r="A19" s="1">
        <v>46000</v>
      </c>
      <c r="B19" s="2">
        <v>0.96442129629629625</v>
      </c>
      <c r="C19">
        <v>108</v>
      </c>
      <c r="D19" s="3">
        <v>8.11</v>
      </c>
      <c r="E19">
        <v>101</v>
      </c>
      <c r="F19" s="3">
        <v>10</v>
      </c>
      <c r="G19">
        <v>0</v>
      </c>
      <c r="J19" s="7" t="s">
        <v>31</v>
      </c>
      <c r="K19" s="6" t="e">
        <f>AVERAGEIFS(C:C, $A:$A, "=" &amp; DATE(2025,12,9), $B:$B, "&gt;=" &amp; TIME(17,0,0), $B:$B, "&lt;" &amp; TIME(18,0,0))/10</f>
        <v>#DIV/0!</v>
      </c>
      <c r="L19" s="6" t="e">
        <f>AVERAGEIFS(E:E, $A:$A, "=" &amp; DATE(2025,12,9), $B:$B, "&gt;=" &amp; TIME(17,0,0), $B:$B, "&lt;" &amp; TIME(18,0,0))/10</f>
        <v>#DIV/0!</v>
      </c>
      <c r="M19" s="11" t="e">
        <f>AVERAGEIFS(D:D, $A:$A, "=" &amp; DATE(2025,12,9), $B:$B, "&gt;=" &amp; TIME(17,0,0), $B:$B, "&lt;" &amp; TIME(18,0,0))/10</f>
        <v>#DIV/0!</v>
      </c>
      <c r="N19" s="9" t="e">
        <f>AVERAGEIFS(F:F, $A:$A, "=" &amp; DATE(2025,12,9), $B:$B, "&gt;=" &amp; TIME(17,0,0), $B:$B, "&lt;" &amp; TIME(18,0,0))/10</f>
        <v>#DIV/0!</v>
      </c>
      <c r="O19" s="5" t="e">
        <f>AVERAGEIFS(G:G, $A:$A, "=" &amp; DATE(2025,12,9), $B:$B, "&gt;=" &amp; TIME(17,0,0), $B:$B, "&lt;" &amp; TIME(18,0,0))/10</f>
        <v>#DIV/0!</v>
      </c>
    </row>
    <row r="20" spans="1:15" x14ac:dyDescent="0.3">
      <c r="A20" s="1">
        <v>46000</v>
      </c>
      <c r="B20" s="2">
        <v>0.9783101851851852</v>
      </c>
      <c r="C20">
        <v>108</v>
      </c>
      <c r="D20" s="3">
        <v>8.11</v>
      </c>
      <c r="E20">
        <v>102</v>
      </c>
      <c r="F20" s="3">
        <v>10</v>
      </c>
      <c r="G20">
        <v>0</v>
      </c>
      <c r="J20" s="7" t="s">
        <v>8</v>
      </c>
      <c r="K20" s="6">
        <f>AVERAGEIFS(C:C, $A:$A, "=" &amp; DATE(2025,12,9), $B:$B, "&gt;=" &amp; TIME(18,0,0), $B:$B, "&lt;" &amp; TIME(19,0,0))/10</f>
        <v>11.875</v>
      </c>
      <c r="L20" s="6">
        <f>AVERAGEIFS(E:E, $A:$A, "=" &amp; DATE(2025,12,9), $B:$B, "&gt;=" &amp; TIME(18,0,0), $B:$B, "&lt;" &amp; TIME(19,0,0))/10</f>
        <v>10.4</v>
      </c>
      <c r="M20" s="11">
        <f>AVERAGEIFS(D:D, $A:$A, "=" &amp; DATE(2025,12,9), $B:$B, "&gt;=" &amp; TIME(18,0,0), $B:$B, "&lt;" &amp; TIME(19,0,0))/10</f>
        <v>0.86524999999999996</v>
      </c>
      <c r="N20" s="9">
        <f>AVERAGEIFS(F:F, $A:$A, "=" &amp; DATE(2025,12,9), $B:$B, "&gt;=" &amp; TIME(18,0,0), $B:$B, "&lt;" &amp; TIME(19,0,0))/10</f>
        <v>1</v>
      </c>
      <c r="O20" s="5">
        <f>AVERAGEIFS(G:G, $A:$A, "=" &amp; DATE(2025,12,9), $B:$B, "&gt;=" &amp; TIME(18,0,0), $B:$B, "&lt;" &amp; TIME(19,0,0))</f>
        <v>0</v>
      </c>
    </row>
    <row r="21" spans="1:15" x14ac:dyDescent="0.3">
      <c r="A21" s="1">
        <v>46000</v>
      </c>
      <c r="B21" s="2">
        <v>0.9943981481481482</v>
      </c>
      <c r="C21">
        <v>112</v>
      </c>
      <c r="D21" s="3">
        <v>8.6999999999999993</v>
      </c>
      <c r="E21">
        <v>104</v>
      </c>
      <c r="F21" s="3">
        <v>10</v>
      </c>
      <c r="G21">
        <v>0</v>
      </c>
      <c r="J21" s="7" t="s">
        <v>9</v>
      </c>
      <c r="K21" s="6">
        <f>AVERAGEIFS(C:C, $A:$A, "=" &amp; DATE(2025,12,9), $B:$B, "&gt;=" &amp; TIME(19,0,0), $B:$B, "&lt;" &amp; TIME(20,0,0))/10</f>
        <v>11.15</v>
      </c>
      <c r="L21" s="6">
        <f>AVERAGEIFS(E:E, $A:$A, "=" &amp; DATE(2025,12,9), $B:$B, "&gt;=" &amp; TIME(19,0,0), $B:$B, "&lt;" &amp; TIME(20,0,0))/10</f>
        <v>10.4</v>
      </c>
      <c r="M21" s="11">
        <f>AVERAGEIFS(D:D, $A:$A, "=" &amp; DATE(2025,12,9), $B:$B, "&gt;=" &amp; TIME(19,0,0), $B:$B, "&lt;" &amp; TIME(20,0,0))/10</f>
        <v>0.92699999999999994</v>
      </c>
      <c r="N21" s="9">
        <f>AVERAGEIFS(F:F, $A:$A, "=" &amp; DATE(2025,12,9), $B:$B, "&gt;=" &amp; TIME(19,0,0), $B:$B, "&lt;" &amp; TIME(20,0,0))/10</f>
        <v>1</v>
      </c>
      <c r="O21" s="5">
        <f>AVERAGEIFS(G:G, $A:$A, "=" &amp; DATE(2025,12,9), $B:$B, "&gt;=" &amp; TIME(19,0,0), $B:$B, "&lt;" &amp; TIME(20,0,0))</f>
        <v>0</v>
      </c>
    </row>
    <row r="22" spans="1:15" x14ac:dyDescent="0.3">
      <c r="J22" s="7" t="s">
        <v>10</v>
      </c>
      <c r="K22" s="6">
        <f>AVERAGEIFS(C:C, $A:$A, "=" &amp; DATE(2025,12,9), $B:$B, "&gt;=" &amp; TIME(20,0,0), $B:$B, "&lt;" &amp; TIME(21,0,0))/10</f>
        <v>10.824999999999999</v>
      </c>
      <c r="L22" s="6">
        <f>AVERAGEIFS(E:E, $A:$A, "=" &amp; DATE(2025,12,9), $B:$B, "&gt;=" &amp; TIME(20,0,0), $B:$B, "&lt;" &amp; TIME(21,0,0))/10</f>
        <v>9.9250000000000007</v>
      </c>
      <c r="M22" s="11">
        <f>AVERAGEIFS(D:D, $A:$A, "=" &amp; DATE(2025,12,9), $B:$B, "&gt;=" &amp; TIME(20,0,0), $B:$B, "&lt;" &amp; TIME(21,0,0))/10</f>
        <v>0.81099999999999994</v>
      </c>
      <c r="N22" s="9">
        <f>AVERAGEIFS(F:F, $A:$A, "=" &amp; DATE(2025,12,9), $B:$B, "&gt;=" &amp; TIME(20,0,0), $B:$B, "&lt;" &amp; TIME(21,0,0))/10</f>
        <v>1</v>
      </c>
      <c r="O22" s="5">
        <f>AVERAGEIFS(G:G, $A:$A, "=" &amp; DATE(2025,12,9), $B:$B, "&gt;=" &amp; TIME(20,0,0), $B:$B, "&lt;" &amp; TIME(21,0,0))</f>
        <v>0</v>
      </c>
    </row>
    <row r="23" spans="1:15" x14ac:dyDescent="0.3">
      <c r="J23" s="7" t="s">
        <v>11</v>
      </c>
      <c r="K23" s="6">
        <f>AVERAGEIFS(C:C, $A:$A, "=" &amp; DATE(2025,12,9), $B:$B, "&gt;=" &amp; TIME(21,0,0), $B:$B, "&lt;" &amp; TIME(22,0,0))/10</f>
        <v>10.7</v>
      </c>
      <c r="L23" s="6">
        <f>AVERAGEIFS(E:E, $A:$A, "=" &amp; DATE(2025,12,9), $B:$B, "&gt;=" &amp; TIME(21,0,0), $B:$B, "&lt;" &amp; TIME(22,0,0))/10</f>
        <v>9.9</v>
      </c>
      <c r="M23" s="11">
        <f>AVERAGEIFS(D:D, $A:$A, "=" &amp; DATE(2025,12,9), $B:$B, "&gt;=" &amp; TIME(21,0,0), $B:$B, "&lt;" &amp; TIME(22,0,0))/10</f>
        <v>0.80525000000000002</v>
      </c>
      <c r="N23" s="9">
        <f>AVERAGEIFS(F:F, $A:$A, "=" &amp; DATE(2025,12,9), $B:$B, "&gt;=" &amp; TIME(21,0,0), $B:$B, "&lt;" &amp; TIME(22,0,0))/10</f>
        <v>1</v>
      </c>
      <c r="O23" s="5">
        <f>AVERAGEIFS(G:G, $A:$A, "=" &amp; DATE(2025,12,9), $B:$B, "&gt;=" &amp; TIME(21,0,0), $B:$B, "&lt;" &amp; TIME(22,0,0))</f>
        <v>0</v>
      </c>
    </row>
    <row r="24" spans="1:15" x14ac:dyDescent="0.3">
      <c r="J24" s="7" t="s">
        <v>12</v>
      </c>
      <c r="K24" s="6">
        <f>AVERAGEIFS(C:C, $A:$A, "=" &amp; DATE(2025,12,9), $B:$B, "&gt;=" &amp; TIME(22,0,0), $B:$B, "&lt;" &amp; TIME(23,0,0))/10</f>
        <v>10.733333333333333</v>
      </c>
      <c r="L24" s="6">
        <f>AVERAGEIFS(E:E, $A:$A, "=" &amp; DATE(2025,12,9), $B:$B, "&gt;=" &amp; TIME(22,0,0), $B:$B, "&lt;" &amp; TIME(23,0,0))/10</f>
        <v>10.033333333333333</v>
      </c>
      <c r="M24" s="11">
        <f>AVERAGEIFS(D:D, $A:$A, "=" &amp; DATE(2025,12,9), $B:$B, "&gt;=" &amp; TIME(22,0,0), $B:$B, "&lt;" &amp; TIME(23,0,0))/10</f>
        <v>0.80866666666666664</v>
      </c>
      <c r="N24" s="9">
        <f>AVERAGEIFS(F:F, $A:$A, "=" &amp; DATE(2025,12,9), $B:$B, "&gt;=" &amp; TIME(22,0,0), $B:$B, "&lt;" &amp; TIME(23,0,0))/10</f>
        <v>1</v>
      </c>
      <c r="O24" s="5">
        <f>AVERAGEIFS(G:G, $A:$A, "=" &amp; DATE(2025,12,9), $B:$B, "&gt;=" &amp; TIME(22,0,0), $B:$B, "&lt;" &amp; TIME(23,0,0))</f>
        <v>0</v>
      </c>
    </row>
    <row r="25" spans="1:15" x14ac:dyDescent="0.3">
      <c r="J25" s="7" t="s">
        <v>13</v>
      </c>
      <c r="K25" s="6">
        <f>AVERAGEIFS(C:C, $A:$A, "=" &amp; DATE(2025,12,9), $B:$B, "&gt;=" &amp; TIME(23,0,0), $B:$B, "&lt;" &amp; TIME(23,59,59))/10</f>
        <v>10.933333333333334</v>
      </c>
      <c r="L25" s="6">
        <f>AVERAGEIFS(E:E, $A:$A, "=" &amp; DATE(2025,12,9), $B:$B, "&gt;=" &amp; TIME(23,0,0), $B:$B, "&lt;" &amp; TIME(23,59,59))/10</f>
        <v>10.233333333333333</v>
      </c>
      <c r="M25" s="11">
        <f>AVERAGEIFS(D:D, $A:$A, "=" &amp; DATE(2025,12,9), $B:$B, "&gt;=" &amp; TIME(23,0,0), $B:$B, "&lt;" &amp; TIME(23,59,59))/10</f>
        <v>0.83066666666666666</v>
      </c>
      <c r="N25" s="9">
        <f>AVERAGEIFS(F:F, $A:$A, "=" &amp; DATE(2025,12,9), $B:$B, "&gt;=" &amp; TIME(23,0,0), $B:$B, "&lt;" &amp; TIME(23,59,59))/10</f>
        <v>1</v>
      </c>
      <c r="O25" s="5">
        <f>AVERAGEIFS(G:G, $A:$A, "=" &amp; DATE(2025,12,9), $B:$B, "&gt;=" &amp; TIME(23,0,0), $B:$B, "&lt;" &amp; TIME(23,59,59))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A811-724D-4D66-9C64-417785349016}">
  <dimension ref="A1:Q79"/>
  <sheetViews>
    <sheetView topLeftCell="A3" workbookViewId="0">
      <selection activeCell="Y24" sqref="Y24"/>
    </sheetView>
  </sheetViews>
  <sheetFormatPr defaultRowHeight="14.4" x14ac:dyDescent="0.3"/>
  <cols>
    <col min="1" max="1" width="10.33203125" bestFit="1" customWidth="1"/>
    <col min="10" max="10" width="10.77734375" bestFit="1" customWidth="1"/>
    <col min="11" max="11" width="7.109375" style="6" bestFit="1" customWidth="1"/>
    <col min="12" max="12" width="8.88671875" style="6"/>
    <col min="13" max="14" width="8.88671875" style="9"/>
    <col min="15" max="15" width="8.88671875" style="10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K1" s="6" t="s">
        <v>32</v>
      </c>
      <c r="L1" s="6" t="s">
        <v>33</v>
      </c>
      <c r="M1" s="9" t="s">
        <v>34</v>
      </c>
      <c r="N1" s="9" t="s">
        <v>35</v>
      </c>
      <c r="O1" s="10" t="s">
        <v>36</v>
      </c>
    </row>
    <row r="2" spans="1:15" x14ac:dyDescent="0.3">
      <c r="A2" s="1">
        <v>46001</v>
      </c>
      <c r="B2" s="2">
        <v>1.5231481481481481E-2</v>
      </c>
      <c r="C2">
        <v>112</v>
      </c>
      <c r="D2" s="3">
        <v>8.39</v>
      </c>
      <c r="E2">
        <v>104</v>
      </c>
      <c r="F2" s="3">
        <v>10</v>
      </c>
      <c r="G2">
        <v>0</v>
      </c>
      <c r="J2" t="s">
        <v>14</v>
      </c>
      <c r="K2" s="6">
        <f>AVERAGEIFS(C:C, $A:$A, "=" &amp; DATE(2025,12,10), $B:$B, "&gt;=" &amp; TIME(0,0,0), $B:$B, "&lt;" &amp; TIME(1,0,0))/10</f>
        <v>11.233333333333333</v>
      </c>
      <c r="L2" s="6">
        <f>AVERAGEIFS(E:E, $A:$A, "=" &amp; DATE(2025,12,10), $B:$B, "&gt;=" &amp; TIME(0,0,0), $B:$B, "&lt;" &amp; TIME(1,0,0))/10</f>
        <v>10.5</v>
      </c>
      <c r="M2" s="9">
        <f>AVERAGEIFS(D:D, $A:$A, "=" &amp; DATE(2025,12,10), $B:$B, "&gt;=" &amp; TIME(0,0,0), $B:$B, "&lt;" &amp; TIME(1,0,0))/10</f>
        <v>0.84066666666666667</v>
      </c>
      <c r="N2" s="9">
        <f>AVERAGEIFS(F:F, $A:$A, "=" &amp; DATE(2025,12,10), $B:$B, "&gt;=" &amp; TIME(0,0,0), $B:$B, "&lt;" &amp; TIME(1,0,0))/10</f>
        <v>1</v>
      </c>
      <c r="O2" s="10">
        <f>AVERAGEIFS(G:G, $A:$A, "=" &amp; DATE(2025,12,10), $B:$B, "&gt;=" &amp; TIME(0,0,0), $B:$B, "&lt;" &amp; TIME(1,0,0))/10</f>
        <v>0</v>
      </c>
    </row>
    <row r="3" spans="1:15" x14ac:dyDescent="0.3">
      <c r="A3" s="1">
        <v>46001</v>
      </c>
      <c r="B3" s="2">
        <v>2.2175925925925925E-2</v>
      </c>
      <c r="C3">
        <v>112</v>
      </c>
      <c r="D3" s="3">
        <v>8.41</v>
      </c>
      <c r="E3">
        <v>105</v>
      </c>
      <c r="F3" s="3">
        <v>10</v>
      </c>
      <c r="G3">
        <v>0</v>
      </c>
      <c r="J3" t="s">
        <v>15</v>
      </c>
      <c r="K3" s="6">
        <f>AVERAGEIFS(C:C, $A:$A, "=" &amp; DATE(2025,12,10), $B:$B, "&gt;=" &amp; TIME(1,0,0), $B:$B, "&lt;" &amp; TIME(2,0,0))/10</f>
        <v>11.3</v>
      </c>
      <c r="L3" s="6">
        <f>AVERAGEIFS(E:E, $A:$A, "=" &amp; DATE(2025,12,10), $B:$B, "&gt;=" &amp; TIME(1,0,0), $B:$B, "&lt;" &amp; TIME(2,0,0))/10</f>
        <v>10.5</v>
      </c>
      <c r="M3" s="9">
        <f>AVERAGEIFS(D:D, $A:$A, "=" &amp; DATE(2025,12,10), $B:$B, "&gt;=" &amp; TIME(1,0,0), $B:$B, "&lt;" &amp; TIME(2,0,0))/10</f>
        <v>0.84299999999999997</v>
      </c>
      <c r="N3" s="9">
        <f>AVERAGEIFS(F:F, $A:$A, "=" &amp; DATE(2025,12,10), $B:$B, "&gt;=" &amp; TIME(1,0,0), $B:$B, "&lt;" &amp; TIME(2,0,0))/10</f>
        <v>1</v>
      </c>
      <c r="O3" s="10">
        <f>AVERAGEIFS(G:G, $A:$A, "=" &amp; DATE(2025,12,10), $B:$B, "&gt;=" &amp; TIME(1,0,0), $B:$B, "&lt;" &amp; TIME(2,0,0))/10</f>
        <v>0</v>
      </c>
    </row>
    <row r="4" spans="1:15" x14ac:dyDescent="0.3">
      <c r="A4" s="1">
        <v>46001</v>
      </c>
      <c r="B4" s="2">
        <v>3.6064814814814813E-2</v>
      </c>
      <c r="C4">
        <v>113</v>
      </c>
      <c r="D4" s="3">
        <v>8.42</v>
      </c>
      <c r="E4">
        <v>106</v>
      </c>
      <c r="F4" s="3">
        <v>10</v>
      </c>
      <c r="G4">
        <v>0</v>
      </c>
      <c r="J4" t="s">
        <v>16</v>
      </c>
      <c r="K4" s="6">
        <f>AVERAGEIFS(C:C, $A:$A, "=" &amp; DATE(2025,12,10), $B:$B, "&gt;=" &amp; TIME(2,0,0), $B:$B, "&lt;" &amp; TIME(3,0,0))/10</f>
        <v>11.275</v>
      </c>
      <c r="L4" s="6">
        <f>AVERAGEIFS(E:E, $A:$A, "=" &amp; DATE(2025,12,10), $B:$B, "&gt;=" &amp; TIME(2,0,0), $B:$B, "&lt;" &amp; TIME(3,0,0))/10</f>
        <v>10.55</v>
      </c>
      <c r="M4" s="9">
        <f>AVERAGEIFS(D:D, $A:$A, "=" &amp; DATE(2025,12,10), $B:$B, "&gt;=" &amp; TIME(2,0,0), $B:$B, "&lt;" &amp; TIME(3,0,0))/10</f>
        <v>0.85049999999999992</v>
      </c>
      <c r="N4" s="9">
        <f>AVERAGEIFS(F:F, $A:$A, "=" &amp; DATE(2025,12,10), $B:$B, "&gt;=" &amp; TIME(2,0,0), $B:$B, "&lt;" &amp; TIME(3,0,0))/10</f>
        <v>1</v>
      </c>
      <c r="O4" s="10">
        <f>AVERAGEIFS(G:G, $A:$A, "=" &amp; DATE(2025,12,10), $B:$B, "&gt;=" &amp; TIME(2,0,0), $B:$B, "&lt;" &amp; TIME(3,0,0))/10</f>
        <v>0</v>
      </c>
    </row>
    <row r="5" spans="1:15" x14ac:dyDescent="0.3">
      <c r="A5" s="1">
        <v>46001</v>
      </c>
      <c r="B5" s="2">
        <v>4.3009259259259261E-2</v>
      </c>
      <c r="C5">
        <v>113</v>
      </c>
      <c r="D5" s="3">
        <v>8.44</v>
      </c>
      <c r="E5">
        <v>105</v>
      </c>
      <c r="F5" s="3">
        <v>10</v>
      </c>
      <c r="G5">
        <v>0</v>
      </c>
      <c r="J5" t="s">
        <v>17</v>
      </c>
      <c r="K5" s="6">
        <f>AVERAGEIFS(C:C, $A:$A, "=" &amp; DATE(2025,12,10), $B:$B, "&gt;=" &amp; TIME(3,0,0), $B:$B, "&lt;" &amp; TIME(4,0,0))/10</f>
        <v>11.3</v>
      </c>
      <c r="L5" s="6">
        <f>AVERAGEIFS(E:E, $A:$A, "=" &amp; DATE(2025,12,10), $B:$B, "&gt;=" &amp; TIME(3,0,0), $B:$B, "&lt;" &amp; TIME(4,0,0))/10</f>
        <v>10.6</v>
      </c>
      <c r="M5" s="9">
        <f>AVERAGEIFS(D:D, $A:$A, "=" &amp; DATE(2025,12,10), $B:$B, "&gt;=" &amp; TIME(3,0,0), $B:$B, "&lt;" &amp; TIME(4,0,0))/10</f>
        <v>0.85600000000000009</v>
      </c>
      <c r="N5" s="9">
        <f>AVERAGEIFS(F:F, $A:$A, "=" &amp; DATE(2025,12,10), $B:$B, "&gt;=" &amp; TIME(3,0,0), $B:$B, "&lt;" &amp; TIME(4,0,0))/10</f>
        <v>1</v>
      </c>
      <c r="O5" s="10">
        <f>AVERAGEIFS(G:G, $A:$A, "=" &amp; DATE(2025,12,10), $B:$B, "&gt;=" &amp; TIME(3,0,0), $B:$B, "&lt;" &amp; TIME(4,0,0))/10</f>
        <v>0</v>
      </c>
    </row>
    <row r="6" spans="1:15" x14ac:dyDescent="0.3">
      <c r="A6" s="1">
        <v>46001</v>
      </c>
      <c r="B6" s="2">
        <v>4.9953703703703702E-2</v>
      </c>
      <c r="C6">
        <v>113</v>
      </c>
      <c r="D6" s="3">
        <v>8.42</v>
      </c>
      <c r="E6">
        <v>105</v>
      </c>
      <c r="F6" s="3">
        <v>10</v>
      </c>
      <c r="G6">
        <v>0</v>
      </c>
      <c r="J6" t="s">
        <v>18</v>
      </c>
      <c r="K6" s="6">
        <f>AVERAGEIFS(C:C, $A:$A, "=" &amp; DATE(2025,12,10), $B:$B, "&gt;=" &amp; TIME(4,0,0), $B:$B, "&lt;" &amp; TIME(5,0,0))/10</f>
        <v>11.366666666666667</v>
      </c>
      <c r="L6" s="6">
        <f>AVERAGEIFS(E:E, $A:$A, "=" &amp; DATE(2025,12,10), $B:$B, "&gt;=" &amp; TIME(4,0,0), $B:$B, "&lt;" &amp; TIME(5,0,0))/10</f>
        <v>10.533333333333333</v>
      </c>
      <c r="M6" s="9">
        <f>AVERAGEIFS(D:D, $A:$A, "=" &amp; DATE(2025,12,10), $B:$B, "&gt;=" &amp; TIME(4,0,0), $B:$B, "&lt;" &amp; TIME(5,0,0))/10</f>
        <v>0.87066666666666648</v>
      </c>
      <c r="N6" s="9">
        <f>AVERAGEIFS(F:F, $A:$A, "=" &amp; DATE(2025,12,10), $B:$B, "&gt;=" &amp; TIME(4,0,0), $B:$B, "&lt;" &amp; TIME(5,0,0))/10</f>
        <v>1</v>
      </c>
      <c r="O6" s="10">
        <f>AVERAGEIFS(G:G, $A:$A, "=" &amp; DATE(2025,12,10), $B:$B, "&gt;=" &amp; TIME(4,0,0), $B:$B, "&lt;" &amp; TIME(5,0,0))/10</f>
        <v>0</v>
      </c>
    </row>
    <row r="7" spans="1:15" x14ac:dyDescent="0.3">
      <c r="A7" s="1">
        <v>46001</v>
      </c>
      <c r="B7" s="2">
        <v>5.6898148148148149E-2</v>
      </c>
      <c r="C7">
        <v>113</v>
      </c>
      <c r="D7" s="3">
        <v>8.43</v>
      </c>
      <c r="E7">
        <v>105</v>
      </c>
      <c r="F7" s="3">
        <v>10</v>
      </c>
      <c r="G7">
        <v>0</v>
      </c>
      <c r="J7" t="s">
        <v>19</v>
      </c>
      <c r="K7" s="6">
        <f>AVERAGEIFS(C:C, $A:$A, "=" &amp; DATE(2025,12,10), $B:$B, "&gt;=" &amp; TIME(5,0,0), $B:$B, "&lt;" &amp; TIME(6,0,0))/10</f>
        <v>11.25</v>
      </c>
      <c r="L7" s="6">
        <f>AVERAGEIFS(E:E, $A:$A, "=" &amp; DATE(2025,12,10), $B:$B, "&gt;=" &amp; TIME(5,0,0), $B:$B, "&lt;" &amp; TIME(6,0,0))/10</f>
        <v>10.45</v>
      </c>
      <c r="M7" s="9">
        <f>AVERAGEIFS(D:D, $A:$A, "=" &amp; DATE(2025,12,10), $B:$B, "&gt;=" &amp; TIME(5,0,0), $B:$B, "&lt;" &amp; TIME(6,0,0))/10</f>
        <v>0.88249999999999995</v>
      </c>
      <c r="N7" s="9">
        <f>AVERAGEIFS(F:F, $A:$A, "=" &amp; DATE(2025,12,10), $B:$B, "&gt;=" &amp; TIME(5,0,0), $B:$B, "&lt;" &amp; TIME(6,0,0))/10</f>
        <v>1</v>
      </c>
      <c r="O7" s="10">
        <f>AVERAGEIFS(G:G, $A:$A, "=" &amp; DATE(2025,12,10), $B:$B, "&gt;=" &amp; TIME(5,0,0), $B:$B, "&lt;" &amp; TIME(6,0,0))/10</f>
        <v>0</v>
      </c>
    </row>
    <row r="8" spans="1:15" x14ac:dyDescent="0.3">
      <c r="A8" s="1">
        <v>46001</v>
      </c>
      <c r="B8" s="2">
        <v>8.4675925925925932E-2</v>
      </c>
      <c r="C8">
        <v>112</v>
      </c>
      <c r="D8" s="3">
        <v>8.4700000000000006</v>
      </c>
      <c r="E8">
        <v>105</v>
      </c>
      <c r="F8" s="3">
        <v>10</v>
      </c>
      <c r="G8">
        <v>0</v>
      </c>
      <c r="J8" t="s">
        <v>20</v>
      </c>
      <c r="K8" s="6">
        <f>AVERAGEIFS(C:C, $A:$A, "=" &amp; DATE(2025,12,10), $B:$B, "&gt;=" &amp; TIME(6,0,0), $B:$B, "&lt;" &amp; TIME(7,0,0))/10</f>
        <v>11.2</v>
      </c>
      <c r="L8" s="6">
        <f>AVERAGEIFS(E:E, $A:$A, "=" &amp; DATE(2025,12,10), $B:$B, "&gt;=" &amp; TIME(6,0,0), $B:$B, "&lt;" &amp; TIME(7,0,0))/10</f>
        <v>10.433333333333334</v>
      </c>
      <c r="M8" s="9">
        <f>AVERAGEIFS(D:D, $A:$A, "=" &amp; DATE(2025,12,10), $B:$B, "&gt;=" &amp; TIME(6,0,0), $B:$B, "&lt;" &amp; TIME(7,0,0))/10</f>
        <v>0.90800000000000003</v>
      </c>
      <c r="N8" s="9">
        <f>AVERAGEIFS(F:F, $A:$A, "=" &amp; DATE(2025,12,10), $B:$B, "&gt;=" &amp; TIME(6,0,0), $B:$B, "&lt;" &amp; TIME(7,0,0))/10</f>
        <v>1</v>
      </c>
      <c r="O8" s="10">
        <f>AVERAGEIFS(G:G, $A:$A, "=" &amp; DATE(2025,12,10), $B:$B, "&gt;=" &amp; TIME(6,0,0), $B:$B, "&lt;" &amp; TIME(7,0,0))/10</f>
        <v>0</v>
      </c>
    </row>
    <row r="9" spans="1:15" x14ac:dyDescent="0.3">
      <c r="A9" s="1">
        <v>46001</v>
      </c>
      <c r="B9" s="2">
        <v>0.10550925925925926</v>
      </c>
      <c r="C9">
        <v>113</v>
      </c>
      <c r="D9" s="3">
        <v>8.51</v>
      </c>
      <c r="E9">
        <v>105</v>
      </c>
      <c r="F9" s="3">
        <v>10</v>
      </c>
      <c r="G9">
        <v>0</v>
      </c>
      <c r="J9" t="s">
        <v>21</v>
      </c>
      <c r="K9" s="6">
        <f>AVERAGEIFS(C:C, $A:$A, "=" &amp; DATE(2025,12,10), $B:$B, "&gt;=" &amp; TIME(7,0,0), $B:$B, "&lt;" &amp; TIME(8,0,0))/10</f>
        <v>11.1</v>
      </c>
      <c r="L9" s="6">
        <f>AVERAGEIFS(E:E, $A:$A, "=" &amp; DATE(2025,12,10), $B:$B, "&gt;=" &amp; TIME(7,0,0), $B:$B, "&lt;" &amp; TIME(8,0,0))/10</f>
        <v>10.4</v>
      </c>
      <c r="M9" s="9">
        <f>AVERAGEIFS(D:D, $A:$A, "=" &amp; DATE(2025,12,10), $B:$B, "&gt;=" &amp; TIME(7,0,0), $B:$B, "&lt;" &amp; TIME(8,0,0))/10</f>
        <v>0.94000000000000006</v>
      </c>
      <c r="N9" s="9">
        <f>AVERAGEIFS(F:F, $A:$A, "=" &amp; DATE(2025,12,10), $B:$B, "&gt;=" &amp; TIME(7,0,0), $B:$B, "&lt;" &amp; TIME(8,0,0))/10</f>
        <v>1</v>
      </c>
      <c r="O9" s="10">
        <f>AVERAGEIFS(G:G, $A:$A, "=" &amp; DATE(2025,12,10), $B:$B, "&gt;=" &amp; TIME(7,0,0), $B:$B, "&lt;" &amp; TIME(8,0,0))/10</f>
        <v>0</v>
      </c>
    </row>
    <row r="10" spans="1:15" x14ac:dyDescent="0.3">
      <c r="A10" s="1">
        <v>46001</v>
      </c>
      <c r="B10" s="2">
        <v>0.11245370370370371</v>
      </c>
      <c r="C10">
        <v>113</v>
      </c>
      <c r="D10" s="3">
        <v>8.52</v>
      </c>
      <c r="E10">
        <v>106</v>
      </c>
      <c r="F10" s="3">
        <v>10</v>
      </c>
      <c r="G10">
        <v>0</v>
      </c>
      <c r="J10" t="s">
        <v>22</v>
      </c>
      <c r="K10" s="6">
        <f>AVERAGEIFS(C:C, $A:$A, "=" &amp; DATE(2025,12,10), $B:$B, "&gt;=" &amp; TIME(8,0,0), $B:$B, "&lt;" &amp; TIME(9,0,0))/10</f>
        <v>10.925000000000001</v>
      </c>
      <c r="L10" s="6">
        <f>AVERAGEIFS(E:E, $A:$A, "=" &amp; DATE(2025,12,10), $B:$B, "&gt;=" &amp; TIME(8,0,0), $B:$B, "&lt;" &amp; TIME(9,0,0))/10</f>
        <v>10.275</v>
      </c>
      <c r="M10" s="9">
        <f>AVERAGEIFS(D:D, $A:$A, "=" &amp; DATE(2025,12,10), $B:$B, "&gt;=" &amp; TIME(8,0,0), $B:$B, "&lt;" &amp; TIME(9,0,0))/10</f>
        <v>0.96125000000000005</v>
      </c>
      <c r="N10" s="9">
        <f>AVERAGEIFS(F:F, $A:$A, "=" &amp; DATE(2025,12,10), $B:$B, "&gt;=" &amp; TIME(8,0,0), $B:$B, "&lt;" &amp; TIME(9,0,0))/10</f>
        <v>1</v>
      </c>
      <c r="O10" s="10">
        <f>AVERAGEIFS(G:G, $A:$A, "=" &amp; DATE(2025,12,10), $B:$B, "&gt;=" &amp; TIME(8,0,0), $B:$B, "&lt;" &amp; TIME(9,0,0))</f>
        <v>27.25</v>
      </c>
    </row>
    <row r="11" spans="1:15" x14ac:dyDescent="0.3">
      <c r="A11" s="1">
        <v>46001</v>
      </c>
      <c r="B11" s="2">
        <v>0.11939814814814814</v>
      </c>
      <c r="C11">
        <v>113</v>
      </c>
      <c r="D11" s="3">
        <v>8.52</v>
      </c>
      <c r="E11">
        <v>106</v>
      </c>
      <c r="F11" s="3">
        <v>10</v>
      </c>
      <c r="G11">
        <v>0</v>
      </c>
      <c r="J11" t="s">
        <v>23</v>
      </c>
      <c r="K11" s="6">
        <f>AVERAGEIFS(C:C, $A:$A, "=" &amp; DATE(2025,12,10), $B:$B, "&gt;=" &amp; TIME(9,0,0), $B:$B, "&lt;" &amp; TIME(10,0,0))/10</f>
        <v>10.8</v>
      </c>
      <c r="L11" s="6">
        <f>AVERAGEIFS(E:E, $A:$A, "=" &amp; DATE(2025,12,10), $B:$B, "&gt;=" &amp; TIME(9,0,0), $B:$B, "&lt;" &amp; TIME(10,0,0))/10</f>
        <v>10.233333333333333</v>
      </c>
      <c r="M11" s="9">
        <f>AVERAGEIFS(D:D, $A:$A, "=" &amp; DATE(2025,12,10), $B:$B, "&gt;=" &amp; TIME(9,0,0), $B:$B, "&lt;" &amp; TIME(10,0,0))/10</f>
        <v>0.98000000000000009</v>
      </c>
      <c r="N11" s="9">
        <f>AVERAGEIFS(F:F, $A:$A, "=" &amp; DATE(2025,12,10), $B:$B, "&gt;=" &amp; TIME(9,0,0), $B:$B, "&lt;" &amp; TIME(10,0,0))/10</f>
        <v>1</v>
      </c>
      <c r="O11" s="10">
        <f>AVERAGEIFS(G:G, $A:$A, "=" &amp; DATE(2025,12,10), $B:$B, "&gt;=" &amp; TIME(9,0,0), $B:$B, "&lt;" &amp; TIME(10,0,0))</f>
        <v>109</v>
      </c>
    </row>
    <row r="12" spans="1:15" x14ac:dyDescent="0.3">
      <c r="A12" s="1">
        <v>46001</v>
      </c>
      <c r="B12" s="2">
        <v>0.12634259259259259</v>
      </c>
      <c r="C12">
        <v>113</v>
      </c>
      <c r="D12" s="3">
        <v>8.5299999999999994</v>
      </c>
      <c r="E12">
        <v>106</v>
      </c>
      <c r="F12" s="3">
        <v>10</v>
      </c>
      <c r="G12">
        <v>0</v>
      </c>
      <c r="J12" t="s">
        <v>24</v>
      </c>
      <c r="K12" s="6">
        <f>AVERAGEIFS(C:C, $A:$A, "=" &amp; DATE(2025,12,10), $B:$B, "&gt;=" &amp; TIME(10,0,0), $B:$B, "&lt;" &amp; TIME(11,0,0))/10</f>
        <v>10.8</v>
      </c>
      <c r="L12" s="6">
        <f>AVERAGEIFS(E:E, $A:$A, "=" &amp; DATE(2025,12,10), $B:$B, "&gt;=" &amp; TIME(10,0,0), $B:$B, "&lt;" &amp; TIME(11,0,0))/10</f>
        <v>10.266666666666667</v>
      </c>
      <c r="M12" s="9">
        <f>AVERAGEIFS(D:D, $A:$A, "=" &amp; DATE(2025,12,10), $B:$B, "&gt;=" &amp; TIME(10,0,0), $B:$B, "&lt;" &amp; TIME(11,0,0))/10</f>
        <v>0.98899999999999988</v>
      </c>
      <c r="N12" s="9">
        <f>AVERAGEIFS(F:F, $A:$A, "=" &amp; DATE(2025,12,10), $B:$B, "&gt;=" &amp; TIME(10,0,0), $B:$B, "&lt;" &amp; TIME(11,0,0))/10</f>
        <v>1</v>
      </c>
      <c r="O12" s="10">
        <f>AVERAGEIFS(G:G, $A:$A, "=" &amp; DATE(2025,12,10), $B:$B, "&gt;=" &amp; TIME(10,0,0), $B:$B, "&lt;" &amp; TIME(11,0,0))</f>
        <v>99.333333333333329</v>
      </c>
    </row>
    <row r="13" spans="1:15" x14ac:dyDescent="0.3">
      <c r="A13" s="1">
        <v>46001</v>
      </c>
      <c r="B13" s="2">
        <v>0.13328703703703704</v>
      </c>
      <c r="C13">
        <v>113</v>
      </c>
      <c r="D13" s="3">
        <v>8.5399999999999991</v>
      </c>
      <c r="E13">
        <v>106</v>
      </c>
      <c r="F13" s="3">
        <v>10</v>
      </c>
      <c r="G13">
        <v>0</v>
      </c>
      <c r="J13" t="s">
        <v>25</v>
      </c>
      <c r="K13" s="6">
        <f>AVERAGEIFS(C:C, $A:$A, "=" &amp; DATE(2025,12,10), $B:$B, "&gt;=" &amp; TIME(11,0,0), $B:$B, "&lt;" &amp; TIME(12,0,0))/10</f>
        <v>11.05</v>
      </c>
      <c r="L13" s="6">
        <f>AVERAGEIFS(E:E, $A:$A, "=" &amp; DATE(2025,12,10), $B:$B, "&gt;=" &amp; TIME(11,0,0), $B:$B, "&lt;" &amp; TIME(12,0,0))/10</f>
        <v>10.466666666666667</v>
      </c>
      <c r="M13" s="9">
        <f>AVERAGEIFS(D:D, $A:$A, "=" &amp; DATE(2025,12,10), $B:$B, "&gt;=" &amp; TIME(11,0,0), $B:$B, "&lt;" &amp; TIME(12,0,0))/10</f>
        <v>0.93533333333333335</v>
      </c>
      <c r="N13" s="9">
        <f>AVERAGEIFS(F:F, $A:$A, "=" &amp; DATE(2025,12,10), $B:$B, "&gt;=" &amp; TIME(11,0,0), $B:$B, "&lt;" &amp; TIME(12,0,0))/10</f>
        <v>1</v>
      </c>
      <c r="O13" s="10">
        <f>AVERAGEIFS(G:G, $A:$A, "=" &amp; DATE(2025,12,10), $B:$B, "&gt;=" &amp; TIME(11,0,0), $B:$B, "&lt;" &amp; TIME(12,0,0))</f>
        <v>198.16666666666666</v>
      </c>
    </row>
    <row r="14" spans="1:15" x14ac:dyDescent="0.3">
      <c r="A14" s="1">
        <v>46001</v>
      </c>
      <c r="B14" s="2">
        <v>0.14717592592592593</v>
      </c>
      <c r="C14">
        <v>113</v>
      </c>
      <c r="D14" s="3">
        <v>8.57</v>
      </c>
      <c r="E14">
        <v>106</v>
      </c>
      <c r="F14" s="3">
        <v>10</v>
      </c>
      <c r="G14">
        <v>0</v>
      </c>
      <c r="J14" t="s">
        <v>26</v>
      </c>
      <c r="K14" s="6">
        <f>AVERAGEIFS(C:C, $A:$A, "=" &amp; DATE(2025,12,10), $B:$B, "&gt;=" &amp; TIME(12,0,0), $B:$B, "&lt;" &amp; TIME(13,0,0))/10</f>
        <v>11</v>
      </c>
      <c r="L14" s="6">
        <f>AVERAGEIFS(E:E, $A:$A, "=" &amp; DATE(2025,12,10), $B:$B, "&gt;=" &amp; TIME(12,0,0), $B:$B, "&lt;" &amp; TIME(13,0,0))/10</f>
        <v>10.4</v>
      </c>
      <c r="M14" s="9">
        <f>AVERAGEIFS(D:D, $A:$A, "=" &amp; DATE(2025,12,10), $B:$B, "&gt;=" &amp; TIME(12,0,0), $B:$B, "&lt;" &amp; TIME(13,0,0))/10</f>
        <v>0.874</v>
      </c>
      <c r="N14" s="9">
        <f>AVERAGEIFS(F:F, $A:$A, "=" &amp; DATE(2025,12,10), $B:$B, "&gt;=" &amp; TIME(12,0,0), $B:$B, "&lt;" &amp; TIME(13,0,0))/10</f>
        <v>1</v>
      </c>
      <c r="O14" s="10">
        <f>AVERAGEIFS(G:G, $A:$A, "=" &amp; DATE(2025,12,10), $B:$B, "&gt;=" &amp; TIME(12,0,0), $B:$B, "&lt;" &amp; TIME(13,0,0))</f>
        <v>208</v>
      </c>
    </row>
    <row r="15" spans="1:15" x14ac:dyDescent="0.3">
      <c r="A15" s="1">
        <v>46001</v>
      </c>
      <c r="B15" s="2">
        <v>0.16106481481481483</v>
      </c>
      <c r="C15">
        <v>113</v>
      </c>
      <c r="D15" s="3">
        <v>8.6</v>
      </c>
      <c r="E15">
        <v>106</v>
      </c>
      <c r="F15" s="3">
        <v>10</v>
      </c>
      <c r="G15">
        <v>0</v>
      </c>
      <c r="J15" t="s">
        <v>27</v>
      </c>
      <c r="K15" s="6">
        <f>AVERAGEIFS(C:C, $A:$A, "=" &amp; DATE(2025,12,10), $B:$B, "&gt;=" &amp; TIME(13,0,0), $B:$B, "&lt;" &amp; TIME(14,0,0))/10</f>
        <v>10.733333333333333</v>
      </c>
      <c r="L15" s="6">
        <f>AVERAGEIFS(E:E, $A:$A, "=" &amp; DATE(2025,12,10), $B:$B, "&gt;=" &amp; TIME(13,0,0), $B:$B, "&lt;" &amp; TIME(14,0,0))/10</f>
        <v>10.133333333333333</v>
      </c>
      <c r="M15" s="9">
        <f>AVERAGEIFS(D:D, $A:$A, "=" &amp; DATE(2025,12,10), $B:$B, "&gt;=" &amp; TIME(13,0,0), $B:$B, "&lt;" &amp; TIME(14,0,0))/10</f>
        <v>0.85799999999999998</v>
      </c>
      <c r="N15" s="9">
        <f>AVERAGEIFS(F:F, $A:$A, "=" &amp; DATE(2025,12,10), $B:$B, "&gt;=" &amp; TIME(13,0,0), $B:$B, "&lt;" &amp; TIME(14,0,0))/10</f>
        <v>1</v>
      </c>
      <c r="O15" s="10">
        <f>AVERAGEIFS(G:G, $A:$A, "=" &amp; DATE(2025,12,10), $B:$B, "&gt;=" &amp; TIME(13,0,0), $B:$B, "&lt;" &amp; TIME(14,0,0))</f>
        <v>164.33333333333334</v>
      </c>
    </row>
    <row r="16" spans="1:15" x14ac:dyDescent="0.3">
      <c r="A16" s="1">
        <v>46001</v>
      </c>
      <c r="B16" s="2">
        <v>0.17495370370370369</v>
      </c>
      <c r="C16">
        <v>114</v>
      </c>
      <c r="D16" s="3">
        <v>8.67</v>
      </c>
      <c r="E16">
        <v>106</v>
      </c>
      <c r="F16" s="3">
        <v>10</v>
      </c>
      <c r="G16">
        <v>0</v>
      </c>
      <c r="J16" t="s">
        <v>28</v>
      </c>
      <c r="K16" s="6">
        <f>AVERAGEIFS(C:C, $A:$A, "=" &amp; DATE(2025,12,10), $B:$B, "&gt;=" &amp; TIME(14,0,0), $B:$B, "&lt;" &amp; TIME(15,0,0))/10</f>
        <v>10.55</v>
      </c>
      <c r="L16" s="6">
        <f>AVERAGEIFS(E:E, $A:$A, "=" &amp; DATE(2025,12,10), $B:$B, "&gt;=" &amp; TIME(14,0,0), $B:$B, "&lt;" &amp; TIME(15,0,0))/10</f>
        <v>9.9250000000000007</v>
      </c>
      <c r="M16" s="9">
        <f>AVERAGEIFS(D:D, $A:$A, "=" &amp; DATE(2025,12,10), $B:$B, "&gt;=" &amp; TIME(14,0,0), $B:$B, "&lt;" &amp; TIME(15,0,0))/10</f>
        <v>0.85624999999999996</v>
      </c>
      <c r="N16" s="9">
        <f>AVERAGEIFS(F:F, $A:$A, "=" &amp; DATE(2025,12,10), $B:$B, "&gt;=" &amp; TIME(14,0,0), $B:$B, "&lt;" &amp; TIME(15,0,0))/10</f>
        <v>1</v>
      </c>
      <c r="O16" s="10">
        <f>AVERAGEIFS(G:G, $A:$A, "=" &amp; DATE(2025,12,10), $B:$B, "&gt;=" &amp; TIME(14,0,0), $B:$B, "&lt;" &amp; TIME(15,0,0))</f>
        <v>128.25</v>
      </c>
    </row>
    <row r="17" spans="1:17" x14ac:dyDescent="0.3">
      <c r="A17" s="1">
        <v>46001</v>
      </c>
      <c r="B17" s="2">
        <v>0.18884259259259259</v>
      </c>
      <c r="C17">
        <v>114</v>
      </c>
      <c r="D17" s="3">
        <v>8.69</v>
      </c>
      <c r="E17">
        <v>105</v>
      </c>
      <c r="F17" s="3">
        <v>10</v>
      </c>
      <c r="G17">
        <v>0</v>
      </c>
      <c r="J17" t="s">
        <v>29</v>
      </c>
      <c r="K17" s="6">
        <f>AVERAGEIFS(C:C, $A:$A, "=" &amp; DATE(2025,12,10), $B:$B, "&gt;=" &amp; TIME(15,0,0), $B:$B, "&lt;" &amp; TIME(16,0,0))/10</f>
        <v>10.275</v>
      </c>
      <c r="L17" s="6">
        <f>AVERAGEIFS(E:E, $A:$A, "=" &amp; DATE(2025,12,10), $B:$B, "&gt;=" &amp; TIME(15,0,0), $B:$B, "&lt;" &amp; TIME(16,0,0))/10</f>
        <v>9.6750000000000007</v>
      </c>
      <c r="M17" s="9">
        <f>AVERAGEIFS(D:D, $A:$A, "=" &amp; DATE(2025,12,10), $B:$B, "&gt;=" &amp; TIME(15,0,0), $B:$B, "&lt;" &amp; TIME(16,0,0))/10</f>
        <v>0.85450000000000004</v>
      </c>
      <c r="N17" s="9">
        <f>AVERAGEIFS(F:F, $A:$A, "=" &amp; DATE(2025,12,10), $B:$B, "&gt;=" &amp; TIME(15,0,0), $B:$B, "&lt;" &amp; TIME(16,0,0))/10</f>
        <v>1</v>
      </c>
      <c r="O17" s="10">
        <f>AVERAGEIFS(G:G, $A:$A, "=" &amp; DATE(2025,12,10), $B:$B, "&gt;=" &amp; TIME(15,0,0), $B:$B, "&lt;" &amp; TIME(16,0,0))</f>
        <v>33.5</v>
      </c>
    </row>
    <row r="18" spans="1:17" x14ac:dyDescent="0.3">
      <c r="A18" s="1">
        <v>46001</v>
      </c>
      <c r="B18" s="2">
        <v>0.20273148148148148</v>
      </c>
      <c r="C18">
        <v>113</v>
      </c>
      <c r="D18" s="3">
        <v>8.76</v>
      </c>
      <c r="E18">
        <v>105</v>
      </c>
      <c r="F18" s="3">
        <v>10</v>
      </c>
      <c r="G18">
        <v>0</v>
      </c>
      <c r="J18" t="s">
        <v>30</v>
      </c>
      <c r="K18" s="6">
        <f>AVERAGEIFS(C:C, $A:$A, "=" &amp; DATE(2025,12,10), $B:$B, "&gt;=" &amp; TIME(16,0,0), $B:$B, "&lt;" &amp; TIME(17,0,0))/10</f>
        <v>10.1</v>
      </c>
      <c r="L18" s="6">
        <f>AVERAGEIFS(E:E, $A:$A, "=" &amp; DATE(2025,12,10), $B:$B, "&gt;=" &amp; TIME(16,0,0), $B:$B, "&lt;" &amp; TIME(17,0,0))/10</f>
        <v>9.6</v>
      </c>
      <c r="M18" s="9">
        <f>AVERAGEIFS(D:D, $A:$A, "=" &amp; DATE(2025,12,10), $B:$B, "&gt;=" &amp; TIME(16,0,0), $B:$B, "&lt;" &amp; TIME(17,0,0))/10</f>
        <v>0.85866666666666658</v>
      </c>
      <c r="N18" s="9">
        <f>AVERAGEIFS(F:F, $A:$A, "=" &amp; DATE(2025,12,10), $B:$B, "&gt;=" &amp; TIME(16,0,0), $B:$B, "&lt;" &amp; TIME(17,0,0))/10</f>
        <v>1</v>
      </c>
      <c r="O18" s="10">
        <f>AVERAGEIFS(G:G, $A:$A, "=" &amp; DATE(2025,12,10), $B:$B, "&gt;=" &amp; TIME(16,0,0), $B:$B, "&lt;" &amp; TIME(17,0,0))</f>
        <v>0</v>
      </c>
    </row>
    <row r="19" spans="1:17" x14ac:dyDescent="0.3">
      <c r="A19" s="1">
        <v>46001</v>
      </c>
      <c r="B19" s="2">
        <v>0.20967592592592593</v>
      </c>
      <c r="C19">
        <v>113</v>
      </c>
      <c r="D19" s="3">
        <v>8.77</v>
      </c>
      <c r="E19">
        <v>105</v>
      </c>
      <c r="F19" s="3">
        <v>10</v>
      </c>
      <c r="G19">
        <v>0</v>
      </c>
      <c r="J19" t="s">
        <v>31</v>
      </c>
      <c r="K19" s="6">
        <f>AVERAGEIFS(C:C, $A:$A, "=" &amp; DATE(2025,12,10), $B:$B, "&gt;=" &amp; TIME(17,0,0), $B:$B, "&lt;" &amp; TIME(18,0,0))/10</f>
        <v>10.1</v>
      </c>
      <c r="L19" s="6">
        <f>AVERAGEIFS(E:E, $A:$A, "=" &amp; DATE(2025,12,10), $B:$B, "&gt;=" &amp; TIME(17,0,0), $B:$B, "&lt;" &amp; TIME(18,0,0))/10</f>
        <v>9.65</v>
      </c>
      <c r="M19" s="9">
        <f>AVERAGEIFS(D:D, $A:$A, "=" &amp; DATE(2025,12,10), $B:$B, "&gt;=" &amp; TIME(17,0,0), $B:$B, "&lt;" &amp; TIME(18,0,0))/10</f>
        <v>0.86250000000000004</v>
      </c>
      <c r="N19" s="9">
        <f>AVERAGEIFS(F:F, $A:$A, "=" &amp; DATE(2025,12,10), $B:$B, "&gt;=" &amp; TIME(17,0,0), $B:$B, "&lt;" &amp; TIME(18,0,0))/10</f>
        <v>1</v>
      </c>
      <c r="O19" s="10">
        <f>AVERAGEIFS(G:G, $A:$A, "=" &amp; DATE(2025,12,10), $B:$B, "&gt;=" &amp; TIME(17,0,0), $B:$B, "&lt;" &amp; TIME(18,0,0))/10</f>
        <v>0</v>
      </c>
    </row>
    <row r="20" spans="1:17" x14ac:dyDescent="0.3">
      <c r="A20" s="1">
        <v>46001</v>
      </c>
      <c r="B20" s="2">
        <v>0.21662037037037038</v>
      </c>
      <c r="C20">
        <v>113</v>
      </c>
      <c r="D20" s="3">
        <v>8.81</v>
      </c>
      <c r="E20">
        <v>104</v>
      </c>
      <c r="F20" s="3">
        <v>10</v>
      </c>
      <c r="G20">
        <v>0</v>
      </c>
      <c r="J20" t="s">
        <v>8</v>
      </c>
      <c r="K20" s="6">
        <f>AVERAGEIFS(C:C, $A:$A, "=" &amp; DATE(2025,12,10), $B:$B, "&gt;=" &amp; TIME(18,0,0), $B:$B, "&lt;" &amp; TIME(19,0,0))/10</f>
        <v>10.333333333333332</v>
      </c>
      <c r="L20" s="6">
        <f>AVERAGEIFS(E:E, $A:$A, "=" &amp; DATE(2025,12,10), $B:$B, "&gt;=" &amp; TIME(18,0,0), $B:$B, "&lt;" &amp; TIME(19,0,0))/10</f>
        <v>10</v>
      </c>
      <c r="M20" s="9">
        <f>AVERAGEIFS(D:D, $A:$A, "=" &amp; DATE(2025,12,10), $B:$B, "&gt;=" &amp; TIME(18,0,0), $B:$B, "&lt;" &amp; TIME(19,0,0))/10</f>
        <v>0.87466666666666681</v>
      </c>
      <c r="N20" s="9">
        <f>AVERAGEIFS(F:F, $A:$A, "=" &amp; DATE(2025,12,10), $B:$B, "&gt;=" &amp; TIME(18,0,0), $B:$B, "&lt;" &amp; TIME(19,0,0))/10</f>
        <v>0.99533333333333329</v>
      </c>
      <c r="O20" s="10">
        <f>AVERAGEIFS(G:G, $A:$A, "=" &amp; DATE(2025,12,10), $B:$B, "&gt;=" &amp; TIME(18,0,0), $B:$B, "&lt;" &amp; TIME(19,0,0))</f>
        <v>0</v>
      </c>
      <c r="Q20" s="12"/>
    </row>
    <row r="21" spans="1:17" x14ac:dyDescent="0.3">
      <c r="A21" s="1">
        <v>46001</v>
      </c>
      <c r="B21" s="2">
        <v>0.22356481481481483</v>
      </c>
      <c r="C21">
        <v>112</v>
      </c>
      <c r="D21" s="3">
        <v>8.83</v>
      </c>
      <c r="E21">
        <v>104</v>
      </c>
      <c r="F21" s="3">
        <v>10</v>
      </c>
      <c r="G21">
        <v>0</v>
      </c>
      <c r="J21" t="s">
        <v>9</v>
      </c>
      <c r="K21" s="6">
        <f>AVERAGEIFS(C:C, $A:$A, "=" &amp; DATE(2025,12,10), $B:$B, "&gt;=" &amp; TIME(19,0,0), $B:$B, "&lt;" &amp; TIME(20,0,0))/10</f>
        <v>10.425000000000001</v>
      </c>
      <c r="L21" s="6">
        <f>AVERAGEIFS(E:E, $A:$A, "=" &amp; DATE(2025,12,10), $B:$B, "&gt;=" &amp; TIME(19,0,0), $B:$B, "&lt;" &amp; TIME(20,0,0))/10</f>
        <v>10.050000000000001</v>
      </c>
      <c r="M21" s="9">
        <f>AVERAGEIFS(D:D, $A:$A, "=" &amp; DATE(2025,12,10), $B:$B, "&gt;=" &amp; TIME(19,0,0), $B:$B, "&lt;" &amp; TIME(20,0,0))/10</f>
        <v>0.87799999999999989</v>
      </c>
      <c r="N21" s="9">
        <f>AVERAGEIFS(F:F, $A:$A, "=" &amp; DATE(2025,12,10), $B:$B, "&gt;=" &amp; TIME(19,0,0), $B:$B, "&lt;" &amp; TIME(20,0,0))/10</f>
        <v>0.99349999999999983</v>
      </c>
      <c r="O21" s="10">
        <f>AVERAGEIFS(G:G, $A:$A, "=" &amp; DATE(2025,12,10), $B:$B, "&gt;=" &amp; TIME(19,0,0), $B:$B, "&lt;" &amp; TIME(20,0,0))</f>
        <v>0</v>
      </c>
    </row>
    <row r="22" spans="1:17" x14ac:dyDescent="0.3">
      <c r="A22" s="1">
        <v>46001</v>
      </c>
      <c r="B22" s="2">
        <v>0.23050925925925925</v>
      </c>
      <c r="C22">
        <v>112</v>
      </c>
      <c r="D22" s="3">
        <v>8.89</v>
      </c>
      <c r="E22">
        <v>105</v>
      </c>
      <c r="F22" s="3">
        <v>10</v>
      </c>
      <c r="G22">
        <v>0</v>
      </c>
      <c r="J22" t="s">
        <v>10</v>
      </c>
      <c r="K22" s="6">
        <f>AVERAGEIFS(C:C, $A:$A, "=" &amp; DATE(2025,12,10), $B:$B, "&gt;=" &amp; TIME(20,0,0), $B:$B, "&lt;" &amp; TIME(21,0,0))/10</f>
        <v>10.5</v>
      </c>
      <c r="L22" s="6">
        <f>AVERAGEIFS(E:E, $A:$A, "=" &amp; DATE(2025,12,10), $B:$B, "&gt;=" &amp; TIME(20,0,0), $B:$B, "&lt;" &amp; TIME(21,0,0))/10</f>
        <v>10.16</v>
      </c>
      <c r="M22" s="9">
        <f>AVERAGEIFS(D:D, $A:$A, "=" &amp; DATE(2025,12,10), $B:$B, "&gt;=" &amp; TIME(20,0,0), $B:$B, "&lt;" &amp; TIME(21,0,0))/10</f>
        <v>0.88460000000000005</v>
      </c>
      <c r="N22" s="9">
        <f>AVERAGEIFS(F:F, $A:$A, "=" &amp; DATE(2025,12,10), $B:$B, "&gt;=" &amp; TIME(20,0,0), $B:$B, "&lt;" &amp; TIME(21,0,0))/10</f>
        <v>0.99120000000000008</v>
      </c>
      <c r="O22" s="10">
        <f>AVERAGEIFS(G:G, $A:$A, "=" &amp; DATE(2025,12,10), $B:$B, "&gt;=" &amp; TIME(20,0,0), $B:$B, "&lt;" &amp; TIME(21,0,0))</f>
        <v>0</v>
      </c>
    </row>
    <row r="23" spans="1:17" x14ac:dyDescent="0.3">
      <c r="A23" s="1">
        <v>46001</v>
      </c>
      <c r="B23" s="2">
        <v>0.25134259259259262</v>
      </c>
      <c r="C23">
        <v>112</v>
      </c>
      <c r="D23" s="3">
        <v>8.99</v>
      </c>
      <c r="E23">
        <v>104</v>
      </c>
      <c r="F23" s="3">
        <v>10</v>
      </c>
      <c r="G23">
        <v>0</v>
      </c>
      <c r="J23" t="s">
        <v>11</v>
      </c>
      <c r="K23" s="6">
        <f>AVERAGEIFS(C:C, $A:$A, "=" &amp; DATE(2025,12,10), $B:$B, "&gt;=" &amp; TIME(21,0,0), $B:$B, "&lt;" &amp; TIME(22,0,0))/10</f>
        <v>10.45</v>
      </c>
      <c r="L23" s="6">
        <f>AVERAGEIFS(E:E, $A:$A, "=" &amp; DATE(2025,12,10), $B:$B, "&gt;=" &amp; TIME(21,0,0), $B:$B, "&lt;" &amp; TIME(22,0,0))/10</f>
        <v>10</v>
      </c>
      <c r="M23" s="9">
        <f>AVERAGEIFS(D:D, $A:$A, "=" &amp; DATE(2025,12,10), $B:$B, "&gt;=" &amp; TIME(21,0,0), $B:$B, "&lt;" &amp; TIME(22,0,0))/10</f>
        <v>0.88700000000000012</v>
      </c>
      <c r="N23" s="9">
        <f>AVERAGEIFS(F:F, $A:$A, "=" &amp; DATE(2025,12,10), $B:$B, "&gt;=" &amp; TIME(21,0,0), $B:$B, "&lt;" &amp; TIME(22,0,0))/10</f>
        <v>0.98650000000000004</v>
      </c>
      <c r="O23" s="10">
        <f>AVERAGEIFS(G:G, $A:$A, "=" &amp; DATE(2025,12,10), $B:$B, "&gt;=" &amp; TIME(21,0,0), $B:$B, "&lt;" &amp; TIME(22,0,0))</f>
        <v>0</v>
      </c>
    </row>
    <row r="24" spans="1:17" x14ac:dyDescent="0.3">
      <c r="A24" s="1">
        <v>46001</v>
      </c>
      <c r="B24" s="2">
        <v>0.25828703703703704</v>
      </c>
      <c r="C24">
        <v>112</v>
      </c>
      <c r="D24" s="3">
        <v>9.02</v>
      </c>
      <c r="E24">
        <v>104</v>
      </c>
      <c r="F24" s="3">
        <v>10</v>
      </c>
      <c r="G24">
        <v>0</v>
      </c>
      <c r="J24" t="s">
        <v>12</v>
      </c>
      <c r="K24" s="6">
        <f>AVERAGEIFS(C:C, $A:$A, "=" &amp; DATE(2025,12,10), $B:$B, "&gt;=" &amp; TIME(22,0,0), $B:$B, "&lt;" &amp; TIME(23,0,0))/10</f>
        <v>10.35</v>
      </c>
      <c r="L24" s="6">
        <f>AVERAGEIFS(E:E, $A:$A, "=" &amp; DATE(2025,12,10), $B:$B, "&gt;=" &amp; TIME(22,0,0), $B:$B, "&lt;" &amp; TIME(23,0,0))/10</f>
        <v>9.8249999999999993</v>
      </c>
      <c r="M24" s="9">
        <f>AVERAGEIFS(D:D, $A:$A, "=" &amp; DATE(2025,12,10), $B:$B, "&gt;=" &amp; TIME(22,0,0), $B:$B, "&lt;" &amp; TIME(23,0,0))/10</f>
        <v>0.92274999999999996</v>
      </c>
      <c r="N24" s="9">
        <f>AVERAGEIFS(F:F, $A:$A, "=" &amp; DATE(2025,12,10), $B:$B, "&gt;=" &amp; TIME(22,0,0), $B:$B, "&lt;" &amp; TIME(23,0,0))/10</f>
        <v>0.98799999999999988</v>
      </c>
      <c r="O24" s="10">
        <f>AVERAGEIFS(G:G, $A:$A, "=" &amp; DATE(2025,12,10), $B:$B, "&gt;=" &amp; TIME(22,0,0), $B:$B, "&lt;" &amp; TIME(23,0,0))</f>
        <v>23.25</v>
      </c>
    </row>
    <row r="25" spans="1:17" x14ac:dyDescent="0.3">
      <c r="A25" s="1">
        <v>46001</v>
      </c>
      <c r="B25" s="2">
        <v>0.28606481481481483</v>
      </c>
      <c r="C25">
        <v>112</v>
      </c>
      <c r="D25" s="3">
        <v>9.23</v>
      </c>
      <c r="E25">
        <v>105</v>
      </c>
      <c r="F25" s="3">
        <v>10</v>
      </c>
      <c r="G25">
        <v>0</v>
      </c>
      <c r="J25" t="s">
        <v>13</v>
      </c>
      <c r="K25" s="6" t="e">
        <f>AVERAGEIFS(C:C, $A:$A, "=" &amp; DATE(2025,12,10), $B:$B, "&gt;=" &amp; TIME(23,0,0), $B:$B, "&lt;" &amp; TIME(23,59,59))/10</f>
        <v>#DIV/0!</v>
      </c>
      <c r="L25" s="6" t="e">
        <f>AVERAGEIFS(E:E, $A:$A, "=" &amp; DATE(2025,12,10), $B:$B, "&gt;=" &amp; TIME(23,0,0), $B:$B, "&lt;" &amp; TIME(23,59,59))/10</f>
        <v>#DIV/0!</v>
      </c>
      <c r="M25" s="9" t="e">
        <f>AVERAGEIFS(D:D, $A:$A, "=" &amp; DATE(2025,12,10), $B:$B, "&gt;=" &amp; TIME(23,0,0), $B:$B, "&lt;" &amp; TIME(23,59,59))/10</f>
        <v>#DIV/0!</v>
      </c>
      <c r="N25" s="9" t="e">
        <f>AVERAGEIFS(F:F, $A:$A, "=" &amp; DATE(2025,12,10), $B:$B, "&gt;=" &amp; TIME(23,0,0), $B:$B, "&lt;" &amp; TIME(23,59,59))/10</f>
        <v>#DIV/0!</v>
      </c>
      <c r="O25" s="10" t="e">
        <f>AVERAGEIFS(G:G, $A:$A, "=" &amp; DATE(2025,12,10), $B:$B, "&gt;=" &amp; TIME(23,0,0), $B:$B, "&lt;" &amp; TIME(23,59,59))</f>
        <v>#DIV/0!</v>
      </c>
    </row>
    <row r="26" spans="1:17" x14ac:dyDescent="0.3">
      <c r="A26" s="1">
        <v>46001</v>
      </c>
      <c r="B26" s="2">
        <v>0.29300925925925925</v>
      </c>
      <c r="C26">
        <v>112</v>
      </c>
      <c r="D26" s="3">
        <v>9.2899999999999991</v>
      </c>
      <c r="E26">
        <v>105</v>
      </c>
      <c r="F26" s="3">
        <v>10</v>
      </c>
      <c r="G26">
        <v>0</v>
      </c>
    </row>
    <row r="27" spans="1:17" x14ac:dyDescent="0.3">
      <c r="A27" s="1">
        <v>46001</v>
      </c>
      <c r="B27" s="2">
        <v>0.31384259259259262</v>
      </c>
      <c r="C27">
        <v>111</v>
      </c>
      <c r="D27" s="3">
        <v>9.41</v>
      </c>
      <c r="E27">
        <v>104</v>
      </c>
      <c r="F27" s="3">
        <v>10</v>
      </c>
      <c r="G27">
        <v>0</v>
      </c>
    </row>
    <row r="28" spans="1:17" x14ac:dyDescent="0.3">
      <c r="A28" s="1">
        <v>46001</v>
      </c>
      <c r="B28" s="2">
        <v>0.32773148148148146</v>
      </c>
      <c r="C28">
        <v>110</v>
      </c>
      <c r="D28" s="3">
        <v>9.5</v>
      </c>
      <c r="E28">
        <v>103</v>
      </c>
      <c r="F28" s="3">
        <v>10</v>
      </c>
      <c r="G28">
        <v>0</v>
      </c>
    </row>
    <row r="29" spans="1:17" x14ac:dyDescent="0.3">
      <c r="A29" s="1">
        <v>46001</v>
      </c>
      <c r="B29" s="2">
        <v>0.33467592592592593</v>
      </c>
      <c r="C29">
        <v>110</v>
      </c>
      <c r="D29" s="3">
        <v>9.5299999999999994</v>
      </c>
      <c r="E29">
        <v>103</v>
      </c>
      <c r="F29" s="3">
        <v>10</v>
      </c>
      <c r="G29">
        <v>1</v>
      </c>
    </row>
    <row r="30" spans="1:17" x14ac:dyDescent="0.3">
      <c r="A30" s="1">
        <v>46001</v>
      </c>
      <c r="B30" s="2">
        <v>0.34162037037037035</v>
      </c>
      <c r="C30">
        <v>109</v>
      </c>
      <c r="D30" s="3">
        <v>9.57</v>
      </c>
      <c r="E30">
        <v>103</v>
      </c>
      <c r="F30" s="3">
        <v>10</v>
      </c>
      <c r="G30">
        <v>1</v>
      </c>
    </row>
    <row r="31" spans="1:17" x14ac:dyDescent="0.3">
      <c r="A31" s="1">
        <v>46001</v>
      </c>
      <c r="B31" s="2">
        <v>0.35550925925925925</v>
      </c>
      <c r="C31">
        <v>109</v>
      </c>
      <c r="D31" s="3">
        <v>9.64</v>
      </c>
      <c r="E31">
        <v>102</v>
      </c>
      <c r="F31" s="3">
        <v>10</v>
      </c>
      <c r="G31">
        <v>38</v>
      </c>
    </row>
    <row r="32" spans="1:17" x14ac:dyDescent="0.3">
      <c r="A32" s="1">
        <v>46001</v>
      </c>
      <c r="B32" s="2">
        <v>0.36939814814814814</v>
      </c>
      <c r="C32">
        <v>109</v>
      </c>
      <c r="D32" s="3">
        <v>9.7100000000000009</v>
      </c>
      <c r="E32">
        <v>103</v>
      </c>
      <c r="F32" s="3">
        <v>10</v>
      </c>
      <c r="G32">
        <v>69</v>
      </c>
    </row>
    <row r="33" spans="1:7" x14ac:dyDescent="0.3">
      <c r="A33" s="1">
        <v>46001</v>
      </c>
      <c r="B33" s="2">
        <v>0.37634259259259262</v>
      </c>
      <c r="C33">
        <v>108</v>
      </c>
      <c r="D33" s="3">
        <v>9.74</v>
      </c>
      <c r="E33">
        <v>103</v>
      </c>
      <c r="F33" s="3">
        <v>10</v>
      </c>
      <c r="G33">
        <v>78</v>
      </c>
    </row>
    <row r="34" spans="1:7" x14ac:dyDescent="0.3">
      <c r="A34" s="1">
        <v>46001</v>
      </c>
      <c r="B34" s="2">
        <v>0.40412037037037035</v>
      </c>
      <c r="C34">
        <v>108</v>
      </c>
      <c r="D34" s="3">
        <v>9.82</v>
      </c>
      <c r="E34">
        <v>102</v>
      </c>
      <c r="F34" s="3">
        <v>10</v>
      </c>
      <c r="G34">
        <v>103</v>
      </c>
    </row>
    <row r="35" spans="1:7" x14ac:dyDescent="0.3">
      <c r="A35" s="1">
        <v>46001</v>
      </c>
      <c r="B35" s="2">
        <v>0.41106481481481483</v>
      </c>
      <c r="C35">
        <v>108</v>
      </c>
      <c r="D35" s="3">
        <v>9.84</v>
      </c>
      <c r="E35">
        <v>102</v>
      </c>
      <c r="F35" s="3">
        <v>10</v>
      </c>
      <c r="G35">
        <v>146</v>
      </c>
    </row>
    <row r="36" spans="1:7" x14ac:dyDescent="0.3">
      <c r="A36" s="1">
        <v>46001</v>
      </c>
      <c r="B36" s="2">
        <v>0.42495370370370372</v>
      </c>
      <c r="C36">
        <v>108</v>
      </c>
      <c r="D36" s="3">
        <v>9.8699999999999992</v>
      </c>
      <c r="E36">
        <v>103</v>
      </c>
      <c r="F36" s="3">
        <v>10</v>
      </c>
      <c r="G36">
        <v>7</v>
      </c>
    </row>
    <row r="37" spans="1:7" x14ac:dyDescent="0.3">
      <c r="A37" s="1">
        <v>46001</v>
      </c>
      <c r="B37" s="2">
        <v>0.43884259259259262</v>
      </c>
      <c r="C37">
        <v>108</v>
      </c>
      <c r="D37" s="3">
        <v>9.89</v>
      </c>
      <c r="E37">
        <v>103</v>
      </c>
      <c r="F37" s="3">
        <v>10</v>
      </c>
      <c r="G37">
        <v>153</v>
      </c>
    </row>
    <row r="38" spans="1:7" x14ac:dyDescent="0.3">
      <c r="A38" s="1">
        <v>46001</v>
      </c>
      <c r="B38" s="2">
        <v>0.45273148148148146</v>
      </c>
      <c r="C38">
        <v>108</v>
      </c>
      <c r="D38" s="3">
        <v>9.91</v>
      </c>
      <c r="E38">
        <v>102</v>
      </c>
      <c r="F38" s="3">
        <v>10</v>
      </c>
      <c r="G38">
        <v>138</v>
      </c>
    </row>
    <row r="39" spans="1:7" x14ac:dyDescent="0.3">
      <c r="A39" s="1">
        <v>46001</v>
      </c>
      <c r="B39" s="2">
        <v>0.45967592592592593</v>
      </c>
      <c r="C39">
        <v>107</v>
      </c>
      <c r="D39" s="3">
        <v>9.92</v>
      </c>
      <c r="E39">
        <v>102</v>
      </c>
      <c r="F39" s="3">
        <v>10</v>
      </c>
      <c r="G39">
        <v>175</v>
      </c>
    </row>
    <row r="40" spans="1:7" x14ac:dyDescent="0.3">
      <c r="A40" s="1">
        <v>46001</v>
      </c>
      <c r="B40" s="2">
        <v>0.47218749999999998</v>
      </c>
      <c r="C40">
        <v>112</v>
      </c>
      <c r="D40" s="3">
        <v>9.69</v>
      </c>
      <c r="E40">
        <v>107</v>
      </c>
      <c r="F40" s="3">
        <v>10</v>
      </c>
      <c r="G40">
        <v>182</v>
      </c>
    </row>
    <row r="41" spans="1:7" x14ac:dyDescent="0.3">
      <c r="A41" s="1">
        <v>46001</v>
      </c>
      <c r="B41" s="2">
        <v>0.47913194444444446</v>
      </c>
      <c r="C41">
        <v>113</v>
      </c>
      <c r="D41" s="3">
        <v>9.3699999999999992</v>
      </c>
      <c r="E41">
        <v>104</v>
      </c>
      <c r="F41" s="3">
        <v>10</v>
      </c>
      <c r="G41">
        <v>197</v>
      </c>
    </row>
    <row r="42" spans="1:7" x14ac:dyDescent="0.3">
      <c r="A42" s="1">
        <v>46001</v>
      </c>
      <c r="B42" s="2">
        <v>0.48607638888888888</v>
      </c>
      <c r="C42">
        <v>111</v>
      </c>
      <c r="D42" s="3">
        <v>9.18</v>
      </c>
      <c r="E42">
        <v>105</v>
      </c>
      <c r="F42" s="3">
        <v>10</v>
      </c>
      <c r="G42">
        <v>225</v>
      </c>
    </row>
    <row r="43" spans="1:7" x14ac:dyDescent="0.3">
      <c r="A43" s="1">
        <v>46001</v>
      </c>
      <c r="B43" s="2">
        <v>0.49302083333333335</v>
      </c>
      <c r="C43">
        <v>110</v>
      </c>
      <c r="D43" s="3">
        <v>9.0299999999999994</v>
      </c>
      <c r="E43">
        <v>105</v>
      </c>
      <c r="F43" s="3">
        <v>10</v>
      </c>
      <c r="G43">
        <v>203</v>
      </c>
    </row>
    <row r="44" spans="1:7" x14ac:dyDescent="0.3">
      <c r="A44" s="1">
        <v>46001</v>
      </c>
      <c r="B44" s="2">
        <v>0.49996527777777777</v>
      </c>
      <c r="C44">
        <v>110</v>
      </c>
      <c r="D44" s="3">
        <v>8.93</v>
      </c>
      <c r="E44">
        <v>105</v>
      </c>
      <c r="F44" s="3">
        <v>10</v>
      </c>
      <c r="G44">
        <v>207</v>
      </c>
    </row>
    <row r="45" spans="1:7" x14ac:dyDescent="0.3">
      <c r="A45" s="1">
        <v>46001</v>
      </c>
      <c r="B45" s="2">
        <v>0.52079861111111114</v>
      </c>
      <c r="C45">
        <v>110</v>
      </c>
      <c r="D45" s="3">
        <v>8.74</v>
      </c>
      <c r="E45">
        <v>104</v>
      </c>
      <c r="F45" s="3">
        <v>10</v>
      </c>
      <c r="G45">
        <v>208</v>
      </c>
    </row>
    <row r="46" spans="1:7" x14ac:dyDescent="0.3">
      <c r="A46" s="1">
        <v>46001</v>
      </c>
      <c r="B46" s="2">
        <v>0.56246527777777777</v>
      </c>
      <c r="C46">
        <v>108</v>
      </c>
      <c r="D46" s="3">
        <v>8.6</v>
      </c>
      <c r="E46">
        <v>102</v>
      </c>
      <c r="F46" s="3">
        <v>10</v>
      </c>
      <c r="G46">
        <v>172</v>
      </c>
    </row>
    <row r="47" spans="1:7" x14ac:dyDescent="0.3">
      <c r="A47" s="1">
        <v>46001</v>
      </c>
      <c r="B47" s="2">
        <v>0.57635416666666661</v>
      </c>
      <c r="C47">
        <v>107</v>
      </c>
      <c r="D47" s="3">
        <v>8.58</v>
      </c>
      <c r="E47">
        <v>101</v>
      </c>
      <c r="F47" s="3">
        <v>10</v>
      </c>
      <c r="G47">
        <v>165</v>
      </c>
    </row>
    <row r="48" spans="1:7" x14ac:dyDescent="0.3">
      <c r="A48" s="1">
        <v>46001</v>
      </c>
      <c r="B48" s="2">
        <v>0.58329861111111114</v>
      </c>
      <c r="C48">
        <v>107</v>
      </c>
      <c r="D48" s="3">
        <v>8.56</v>
      </c>
      <c r="E48">
        <v>101</v>
      </c>
      <c r="F48" s="3">
        <v>10</v>
      </c>
      <c r="G48">
        <v>156</v>
      </c>
    </row>
    <row r="49" spans="1:7" x14ac:dyDescent="0.3">
      <c r="A49" s="1">
        <v>46001</v>
      </c>
      <c r="B49" s="2">
        <v>0.59718749999999998</v>
      </c>
      <c r="C49">
        <v>106</v>
      </c>
      <c r="D49" s="3">
        <v>8.58</v>
      </c>
      <c r="E49">
        <v>101</v>
      </c>
      <c r="F49" s="3">
        <v>10</v>
      </c>
      <c r="G49">
        <v>150</v>
      </c>
    </row>
    <row r="50" spans="1:7" x14ac:dyDescent="0.3">
      <c r="A50" s="1">
        <v>46001</v>
      </c>
      <c r="B50" s="2">
        <v>0.6041319444444444</v>
      </c>
      <c r="C50">
        <v>106</v>
      </c>
      <c r="D50" s="3">
        <v>8.58</v>
      </c>
      <c r="E50">
        <v>100</v>
      </c>
      <c r="F50" s="3">
        <v>10</v>
      </c>
      <c r="G50">
        <v>118</v>
      </c>
    </row>
    <row r="51" spans="1:7" x14ac:dyDescent="0.3">
      <c r="A51" s="1">
        <v>46001</v>
      </c>
      <c r="B51" s="2">
        <v>0.61107638888888893</v>
      </c>
      <c r="C51">
        <v>105</v>
      </c>
      <c r="D51" s="3">
        <v>8.5500000000000007</v>
      </c>
      <c r="E51">
        <v>98</v>
      </c>
      <c r="F51" s="3">
        <v>10</v>
      </c>
      <c r="G51">
        <v>124</v>
      </c>
    </row>
    <row r="52" spans="1:7" x14ac:dyDescent="0.3">
      <c r="A52" s="1">
        <v>46001</v>
      </c>
      <c r="B52" s="2">
        <v>0.61802083333333335</v>
      </c>
      <c r="C52">
        <v>105</v>
      </c>
      <c r="D52" s="3">
        <v>8.5399999999999991</v>
      </c>
      <c r="E52">
        <v>98</v>
      </c>
      <c r="F52" s="3">
        <v>10</v>
      </c>
      <c r="G52">
        <v>121</v>
      </c>
    </row>
    <row r="53" spans="1:7" x14ac:dyDescent="0.3">
      <c r="A53" s="1">
        <v>46001</v>
      </c>
      <c r="B53" s="2">
        <v>0.63190972222222219</v>
      </c>
      <c r="C53">
        <v>104</v>
      </c>
      <c r="D53" s="3">
        <v>8.5500000000000007</v>
      </c>
      <c r="E53">
        <v>99</v>
      </c>
      <c r="F53" s="3">
        <v>10</v>
      </c>
      <c r="G53">
        <v>81</v>
      </c>
    </row>
    <row r="54" spans="1:7" x14ac:dyDescent="0.3">
      <c r="A54" s="1">
        <v>46001</v>
      </c>
      <c r="B54" s="2">
        <v>0.65274305555555556</v>
      </c>
      <c r="C54">
        <v>103</v>
      </c>
      <c r="D54" s="3">
        <v>8.5399999999999991</v>
      </c>
      <c r="E54">
        <v>96</v>
      </c>
      <c r="F54" s="3">
        <v>10</v>
      </c>
      <c r="G54">
        <v>30</v>
      </c>
    </row>
    <row r="55" spans="1:7" x14ac:dyDescent="0.3">
      <c r="A55" s="1">
        <v>46001</v>
      </c>
      <c r="B55" s="2">
        <v>0.65968749999999998</v>
      </c>
      <c r="C55">
        <v>102</v>
      </c>
      <c r="D55" s="3">
        <v>8.5399999999999991</v>
      </c>
      <c r="E55">
        <v>96</v>
      </c>
      <c r="F55" s="3">
        <v>10</v>
      </c>
      <c r="G55">
        <v>17</v>
      </c>
    </row>
    <row r="56" spans="1:7" x14ac:dyDescent="0.3">
      <c r="A56" s="1">
        <v>46001</v>
      </c>
      <c r="B56" s="2">
        <v>0.6666319444444444</v>
      </c>
      <c r="C56">
        <v>102</v>
      </c>
      <c r="D56" s="3">
        <v>8.5500000000000007</v>
      </c>
      <c r="E56">
        <v>96</v>
      </c>
      <c r="F56" s="3">
        <v>10</v>
      </c>
      <c r="G56">
        <v>6</v>
      </c>
    </row>
    <row r="57" spans="1:7" x14ac:dyDescent="0.3">
      <c r="A57" s="1">
        <v>46001</v>
      </c>
      <c r="B57" s="2">
        <v>0.68746527777777777</v>
      </c>
      <c r="C57">
        <v>101</v>
      </c>
      <c r="D57" s="3">
        <v>8.57</v>
      </c>
      <c r="E57">
        <v>96</v>
      </c>
      <c r="F57" s="3">
        <v>10</v>
      </c>
      <c r="G57">
        <v>0</v>
      </c>
    </row>
    <row r="58" spans="1:7" x14ac:dyDescent="0.3">
      <c r="A58" s="1">
        <v>46001</v>
      </c>
      <c r="B58" s="2">
        <v>0.70135416666666661</v>
      </c>
      <c r="C58">
        <v>101</v>
      </c>
      <c r="D58" s="3">
        <v>8.59</v>
      </c>
      <c r="E58">
        <v>96</v>
      </c>
      <c r="F58" s="3">
        <v>10</v>
      </c>
      <c r="G58">
        <v>0</v>
      </c>
    </row>
    <row r="59" spans="1:7" x14ac:dyDescent="0.3">
      <c r="A59" s="1">
        <v>46001</v>
      </c>
      <c r="B59" s="2">
        <v>0.70829861111111114</v>
      </c>
      <c r="C59">
        <v>101</v>
      </c>
      <c r="D59" s="3">
        <v>8.6</v>
      </c>
      <c r="E59">
        <v>96</v>
      </c>
      <c r="F59" s="3">
        <v>10</v>
      </c>
      <c r="G59">
        <v>0</v>
      </c>
    </row>
    <row r="60" spans="1:7" x14ac:dyDescent="0.3">
      <c r="A60" s="1">
        <v>46001</v>
      </c>
      <c r="B60" s="2">
        <v>0.72218749999999998</v>
      </c>
      <c r="C60">
        <v>101</v>
      </c>
      <c r="D60" s="3">
        <v>8.6199999999999992</v>
      </c>
      <c r="E60">
        <v>96</v>
      </c>
      <c r="F60" s="3">
        <v>10</v>
      </c>
      <c r="G60">
        <v>0</v>
      </c>
    </row>
    <row r="61" spans="1:7" x14ac:dyDescent="0.3">
      <c r="A61" s="1">
        <v>46001</v>
      </c>
      <c r="B61" s="2">
        <v>0.7291319444444444</v>
      </c>
      <c r="C61">
        <v>101</v>
      </c>
      <c r="D61" s="3">
        <v>8.6300000000000008</v>
      </c>
      <c r="E61">
        <v>97</v>
      </c>
      <c r="F61" s="3">
        <v>10</v>
      </c>
      <c r="G61">
        <v>0</v>
      </c>
    </row>
    <row r="62" spans="1:7" x14ac:dyDescent="0.3">
      <c r="A62" s="1">
        <v>46001</v>
      </c>
      <c r="B62" s="2">
        <v>0.76385416666666661</v>
      </c>
      <c r="C62">
        <v>102</v>
      </c>
      <c r="D62" s="3">
        <v>8.73</v>
      </c>
      <c r="E62">
        <v>100</v>
      </c>
      <c r="F62" s="3">
        <v>9.89</v>
      </c>
      <c r="G62">
        <v>0</v>
      </c>
    </row>
    <row r="63" spans="1:7" x14ac:dyDescent="0.3">
      <c r="A63" s="1">
        <v>46001</v>
      </c>
      <c r="B63" s="2">
        <v>0.78468749999999998</v>
      </c>
      <c r="C63">
        <v>104</v>
      </c>
      <c r="D63" s="3">
        <v>8.75</v>
      </c>
      <c r="E63">
        <v>100</v>
      </c>
      <c r="F63" s="3">
        <v>10</v>
      </c>
      <c r="G63">
        <v>0</v>
      </c>
    </row>
    <row r="64" spans="1:7" x14ac:dyDescent="0.3">
      <c r="A64" s="1">
        <v>46001</v>
      </c>
      <c r="B64" s="2">
        <v>0.7916319444444444</v>
      </c>
      <c r="C64">
        <v>104</v>
      </c>
      <c r="D64" s="3">
        <v>8.76</v>
      </c>
      <c r="E64">
        <v>100</v>
      </c>
      <c r="F64" s="3">
        <v>9.9700000000000006</v>
      </c>
      <c r="G64">
        <v>0</v>
      </c>
    </row>
    <row r="65" spans="1:7" x14ac:dyDescent="0.3">
      <c r="A65" s="1">
        <v>46001</v>
      </c>
      <c r="B65" s="2">
        <v>0.80552083333333335</v>
      </c>
      <c r="C65">
        <v>104</v>
      </c>
      <c r="D65" s="3">
        <v>8.77</v>
      </c>
      <c r="E65">
        <v>101</v>
      </c>
      <c r="F65" s="3">
        <v>9.91</v>
      </c>
      <c r="G65">
        <v>0</v>
      </c>
    </row>
    <row r="66" spans="1:7" x14ac:dyDescent="0.3">
      <c r="A66" s="1">
        <v>46001</v>
      </c>
      <c r="B66" s="2">
        <v>0.81246527777777777</v>
      </c>
      <c r="C66">
        <v>105</v>
      </c>
      <c r="D66" s="3">
        <v>8.7799999999999994</v>
      </c>
      <c r="E66">
        <v>101</v>
      </c>
      <c r="F66" s="3">
        <v>9.8800000000000008</v>
      </c>
      <c r="G66">
        <v>0</v>
      </c>
    </row>
    <row r="67" spans="1:7" x14ac:dyDescent="0.3">
      <c r="A67" s="1">
        <v>46001</v>
      </c>
      <c r="B67" s="2">
        <v>0.82635416666666661</v>
      </c>
      <c r="C67">
        <v>104</v>
      </c>
      <c r="D67" s="3">
        <v>8.77</v>
      </c>
      <c r="E67">
        <v>100</v>
      </c>
      <c r="F67" s="3">
        <v>9.9700000000000006</v>
      </c>
      <c r="G67">
        <v>0</v>
      </c>
    </row>
    <row r="68" spans="1:7" x14ac:dyDescent="0.3">
      <c r="A68" s="1">
        <v>46001</v>
      </c>
      <c r="B68" s="2">
        <v>0.83329861111111114</v>
      </c>
      <c r="C68">
        <v>104</v>
      </c>
      <c r="D68" s="3">
        <v>8.8000000000000007</v>
      </c>
      <c r="E68">
        <v>100</v>
      </c>
      <c r="F68" s="3">
        <v>9.98</v>
      </c>
      <c r="G68">
        <v>0</v>
      </c>
    </row>
    <row r="69" spans="1:7" x14ac:dyDescent="0.3">
      <c r="A69" s="1">
        <v>46001</v>
      </c>
      <c r="B69" s="2">
        <v>0.84718749999999998</v>
      </c>
      <c r="C69">
        <v>104</v>
      </c>
      <c r="D69" s="3">
        <v>8.81</v>
      </c>
      <c r="E69">
        <v>101</v>
      </c>
      <c r="F69" s="3">
        <v>9.99</v>
      </c>
      <c r="G69">
        <v>0</v>
      </c>
    </row>
    <row r="70" spans="1:7" x14ac:dyDescent="0.3">
      <c r="A70" s="1">
        <v>46001</v>
      </c>
      <c r="B70" s="2">
        <v>0.8541319444444444</v>
      </c>
      <c r="C70">
        <v>105</v>
      </c>
      <c r="D70" s="3">
        <v>8.84</v>
      </c>
      <c r="E70">
        <v>102</v>
      </c>
      <c r="F70" s="3">
        <v>9.93</v>
      </c>
      <c r="G70">
        <v>0</v>
      </c>
    </row>
    <row r="71" spans="1:7" x14ac:dyDescent="0.3">
      <c r="A71" s="1">
        <v>46001</v>
      </c>
      <c r="B71" s="2">
        <v>0.86107638888888893</v>
      </c>
      <c r="C71">
        <v>105</v>
      </c>
      <c r="D71" s="3">
        <v>8.84</v>
      </c>
      <c r="E71">
        <v>101</v>
      </c>
      <c r="F71" s="3">
        <v>9.93</v>
      </c>
      <c r="G71">
        <v>0</v>
      </c>
    </row>
    <row r="72" spans="1:7" x14ac:dyDescent="0.3">
      <c r="A72" s="1">
        <v>46001</v>
      </c>
      <c r="B72" s="2">
        <v>0.86802083333333335</v>
      </c>
      <c r="C72">
        <v>105</v>
      </c>
      <c r="D72" s="3">
        <v>8.86</v>
      </c>
      <c r="E72">
        <v>102</v>
      </c>
      <c r="F72" s="3">
        <v>9.86</v>
      </c>
      <c r="G72">
        <v>0</v>
      </c>
    </row>
    <row r="73" spans="1:7" x14ac:dyDescent="0.3">
      <c r="A73" s="1">
        <v>46001</v>
      </c>
      <c r="B73" s="2">
        <v>0.87496527777777777</v>
      </c>
      <c r="C73">
        <v>106</v>
      </c>
      <c r="D73" s="3">
        <v>8.8800000000000008</v>
      </c>
      <c r="E73">
        <v>102</v>
      </c>
      <c r="F73" s="3">
        <v>9.85</v>
      </c>
      <c r="G73">
        <v>0</v>
      </c>
    </row>
    <row r="74" spans="1:7" x14ac:dyDescent="0.3">
      <c r="A74" s="1">
        <v>46001</v>
      </c>
      <c r="B74" s="2">
        <v>0.88885416666666661</v>
      </c>
      <c r="C74">
        <v>105</v>
      </c>
      <c r="D74" s="3">
        <v>8.85</v>
      </c>
      <c r="E74">
        <v>100</v>
      </c>
      <c r="F74" s="3">
        <v>9.8800000000000008</v>
      </c>
      <c r="G74">
        <v>0</v>
      </c>
    </row>
    <row r="75" spans="1:7" x14ac:dyDescent="0.3">
      <c r="A75" s="1">
        <v>46001</v>
      </c>
      <c r="B75" s="2">
        <v>0.9166319444444444</v>
      </c>
      <c r="C75">
        <v>104</v>
      </c>
      <c r="D75" s="3">
        <v>8.89</v>
      </c>
      <c r="E75">
        <v>100</v>
      </c>
      <c r="F75" s="3">
        <v>9.85</v>
      </c>
      <c r="G75">
        <v>0</v>
      </c>
    </row>
    <row r="76" spans="1:7" x14ac:dyDescent="0.3">
      <c r="A76" s="1">
        <v>46001</v>
      </c>
      <c r="B76" s="2">
        <v>0.93099537037037039</v>
      </c>
      <c r="C76">
        <v>106</v>
      </c>
      <c r="D76" s="3">
        <v>9.68</v>
      </c>
      <c r="E76">
        <v>103</v>
      </c>
      <c r="F76" s="3">
        <v>9.8800000000000008</v>
      </c>
      <c r="G76">
        <v>0</v>
      </c>
    </row>
    <row r="77" spans="1:7" x14ac:dyDescent="0.3">
      <c r="A77" s="1">
        <v>46001</v>
      </c>
      <c r="B77" s="2">
        <v>0.93099537037037039</v>
      </c>
      <c r="C77">
        <v>98</v>
      </c>
      <c r="D77" s="3">
        <v>9.34</v>
      </c>
      <c r="E77">
        <v>92</v>
      </c>
      <c r="F77" s="3">
        <v>10</v>
      </c>
      <c r="G77">
        <v>93</v>
      </c>
    </row>
    <row r="78" spans="1:7" x14ac:dyDescent="0.3">
      <c r="A78" s="1">
        <v>46001</v>
      </c>
      <c r="B78" s="2">
        <v>0.94487268518518519</v>
      </c>
      <c r="C78">
        <v>106</v>
      </c>
      <c r="D78" s="3">
        <v>8.9600000000000009</v>
      </c>
      <c r="E78">
        <v>99</v>
      </c>
      <c r="F78" s="3">
        <v>9.8699999999999992</v>
      </c>
      <c r="G78">
        <v>0</v>
      </c>
    </row>
    <row r="79" spans="1:7" x14ac:dyDescent="0.3">
      <c r="A79" s="1">
        <v>46001</v>
      </c>
      <c r="B79" s="2">
        <v>0.95181712962962961</v>
      </c>
      <c r="C79">
        <v>104</v>
      </c>
      <c r="D79" s="3">
        <v>8.93</v>
      </c>
      <c r="E79">
        <v>99</v>
      </c>
      <c r="F79" s="3">
        <v>9.77</v>
      </c>
      <c r="G79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9E25-ACE4-41C5-ACB8-6049C188598A}">
  <dimension ref="A1:O83"/>
  <sheetViews>
    <sheetView topLeftCell="H19" zoomScaleNormal="100" workbookViewId="0">
      <selection activeCell="O1" sqref="O1:O1048576"/>
    </sheetView>
  </sheetViews>
  <sheetFormatPr defaultRowHeight="14.4" x14ac:dyDescent="0.3"/>
  <cols>
    <col min="1" max="1" width="10.33203125" bestFit="1" customWidth="1"/>
    <col min="10" max="10" width="10.77734375" bestFit="1" customWidth="1"/>
    <col min="11" max="12" width="8.88671875" style="6"/>
    <col min="13" max="13" width="8.88671875" style="9"/>
    <col min="15" max="15" width="8.88671875" style="10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K1" s="6" t="s">
        <v>32</v>
      </c>
      <c r="L1" s="6" t="s">
        <v>33</v>
      </c>
      <c r="M1" s="9" t="s">
        <v>34</v>
      </c>
      <c r="N1" t="s">
        <v>35</v>
      </c>
      <c r="O1" s="10" t="s">
        <v>36</v>
      </c>
    </row>
    <row r="2" spans="1:15" x14ac:dyDescent="0.3">
      <c r="A2" s="1">
        <v>46002</v>
      </c>
      <c r="B2" s="2">
        <v>7.3726851851851852E-3</v>
      </c>
      <c r="C2">
        <v>98</v>
      </c>
      <c r="D2" s="3">
        <v>8.8699999999999992</v>
      </c>
      <c r="E2">
        <v>93</v>
      </c>
      <c r="F2" s="3">
        <v>9.86</v>
      </c>
      <c r="G2">
        <v>0</v>
      </c>
      <c r="J2" t="s">
        <v>14</v>
      </c>
      <c r="K2" s="6">
        <f>AVERAGEIFS(C:C, $A:$A, "=" &amp; DATE(2025,12,11), $B:$B, "&gt;=" &amp; TIME(0,0,0), $B:$B, "&lt;" &amp; TIME(1,0,0))/10</f>
        <v>9.7333333333333325</v>
      </c>
      <c r="L2" s="6">
        <f>AVERAGEIFS(E:E, $A:$A, "=" &amp; DATE(2025,12,11), $B:$B, "&gt;=" &amp; TIME(0,0,0), $B:$B, "&lt;" &amp; TIME(1,0,0))/10</f>
        <v>9.1999999999999993</v>
      </c>
      <c r="M2" s="9">
        <f>AVERAGEIFS(D:D, $A:$A, "=" &amp; DATE(2025,12,11), $B:$B, "&gt;=" &amp; TIME(0,0,0), $B:$B, "&lt;" &amp; TIME(1,0,0))/10</f>
        <v>0.8859999999999999</v>
      </c>
      <c r="N2" s="9">
        <f>AVERAGEIFS(F:F, $A:$A, "=" &amp; DATE(2025,12,11), $B:$B, "&gt;=" &amp; TIME(0,0,0), $B:$B, "&lt;" &amp; TIME(1,0,0))/10</f>
        <v>0.98766666666666669</v>
      </c>
      <c r="O2" s="10">
        <f>AVERAGEIFS(G:G, $A:$A, "=" &amp; DATE(2025,12,11), $B:$B, "&gt;=" &amp; TIME(0,0,0), $B:$B, "&lt;" &amp; TIME(1,0,0))/10</f>
        <v>0</v>
      </c>
    </row>
    <row r="3" spans="1:15" x14ac:dyDescent="0.3">
      <c r="A3" s="1">
        <v>46002</v>
      </c>
      <c r="B3" s="2">
        <v>2.1261574074074075E-2</v>
      </c>
      <c r="C3">
        <v>97</v>
      </c>
      <c r="D3" s="3">
        <v>8.85</v>
      </c>
      <c r="E3">
        <v>91</v>
      </c>
      <c r="F3" s="3">
        <v>9.93</v>
      </c>
      <c r="G3">
        <v>0</v>
      </c>
      <c r="J3" t="s">
        <v>15</v>
      </c>
      <c r="K3" s="6">
        <f>AVERAGEIFS(C:C, $A:$A, "=" &amp; DATE(2025,12,11), $B:$B, "&gt;=" &amp; TIME(1,0,0), $B:$B, "&lt;" &amp; TIME(2,0,0))/10</f>
        <v>9.7333333333333325</v>
      </c>
      <c r="L3" s="6">
        <f>AVERAGEIFS(E:E, $A:$A, "=" &amp; DATE(2025,12,11), $B:$B, "&gt;=" &amp; TIME(1,0,0), $B:$B, "&lt;" &amp; TIME(2,0,0))/10</f>
        <v>9.3000000000000007</v>
      </c>
      <c r="M3" s="9">
        <f>AVERAGEIFS(D:D, $A:$A, "=" &amp; DATE(2025,12,11), $B:$B, "&gt;=" &amp; TIME(1,0,0), $B:$B, "&lt;" &amp; TIME(2,0,0))/10</f>
        <v>0.8869999999999999</v>
      </c>
      <c r="N3" s="9">
        <f>AVERAGEIFS(F:F, $A:$A, "=" &amp; DATE(2025,12,11), $B:$B, "&gt;=" &amp; TIME(1,0,0), $B:$B, "&lt;" &amp; TIME(2,0,0))/10</f>
        <v>0.97933333333333317</v>
      </c>
      <c r="O3" s="10">
        <f>AVERAGEIFS(G:G, $A:$A, "=" &amp; DATE(2025,12,11), $B:$B, "&gt;=" &amp; TIME(1,0,0), $B:$B, "&lt;" &amp; TIME(2,0,0))/10</f>
        <v>0</v>
      </c>
    </row>
    <row r="4" spans="1:15" x14ac:dyDescent="0.3">
      <c r="A4" s="1">
        <v>46002</v>
      </c>
      <c r="B4" s="2">
        <v>3.515046296296296E-2</v>
      </c>
      <c r="C4">
        <v>97</v>
      </c>
      <c r="D4" s="3">
        <v>8.86</v>
      </c>
      <c r="E4">
        <v>92</v>
      </c>
      <c r="F4" s="3">
        <v>9.84</v>
      </c>
      <c r="G4">
        <v>0</v>
      </c>
      <c r="J4" t="s">
        <v>16</v>
      </c>
      <c r="K4" s="6">
        <f>AVERAGEIFS(C:C, $A:$A, "=" &amp; DATE(2025,12,11), $B:$B, "&gt;=" &amp; TIME(2,0,0), $B:$B, "&lt;" &amp; TIME(3,0,0))/10</f>
        <v>9.6999999999999993</v>
      </c>
      <c r="L4" s="6">
        <f>AVERAGEIFS(E:E, $A:$A, "=" &amp; DATE(2025,12,11), $B:$B, "&gt;=" &amp; TIME(2,0,0), $B:$B, "&lt;" &amp; TIME(3,0,0))/10</f>
        <v>9.1</v>
      </c>
      <c r="M4" s="9">
        <f>AVERAGEIFS(D:D, $A:$A, "=" &amp; DATE(2025,12,11), $B:$B, "&gt;=" &amp; TIME(2,0,0), $B:$B, "&lt;" &amp; TIME(3,0,0))/10</f>
        <v>0.8859999999999999</v>
      </c>
      <c r="N4" s="9">
        <f>AVERAGEIFS(F:F, $A:$A, "=" &amp; DATE(2025,12,11), $B:$B, "&gt;=" &amp; TIME(2,0,0), $B:$B, "&lt;" &amp; TIME(3,0,0))/10</f>
        <v>0.9890000000000001</v>
      </c>
      <c r="O4" s="10">
        <f>AVERAGEIFS(G:G, $A:$A, "=" &amp; DATE(2025,12,11), $B:$B, "&gt;=" &amp; TIME(2,0,0), $B:$B, "&lt;" &amp; TIME(3,0,0))/10</f>
        <v>0</v>
      </c>
    </row>
    <row r="5" spans="1:15" x14ac:dyDescent="0.3">
      <c r="A5" s="1">
        <v>46002</v>
      </c>
      <c r="B5" s="2">
        <v>4.2094907407407407E-2</v>
      </c>
      <c r="C5">
        <v>97</v>
      </c>
      <c r="D5" s="3">
        <v>8.86</v>
      </c>
      <c r="E5">
        <v>93</v>
      </c>
      <c r="F5" s="3">
        <v>9.7899999999999991</v>
      </c>
      <c r="G5">
        <v>0</v>
      </c>
      <c r="J5" t="s">
        <v>17</v>
      </c>
      <c r="K5" s="6">
        <f>AVERAGEIFS(C:C, $A:$A, "=" &amp; DATE(2025,12,11), $B:$B, "&gt;=" &amp; TIME(3,0,0), $B:$B, "&lt;" &amp; TIME(4,0,0))/10</f>
        <v>9.5</v>
      </c>
      <c r="L5" s="6">
        <f>AVERAGEIFS(E:E, $A:$A, "=" &amp; DATE(2025,12,11), $B:$B, "&gt;=" &amp; TIME(3,0,0), $B:$B, "&lt;" &amp; TIME(4,0,0))/10</f>
        <v>9</v>
      </c>
      <c r="M5" s="9">
        <f>AVERAGEIFS(D:D, $A:$A, "=" &amp; DATE(2025,12,11), $B:$B, "&gt;=" &amp; TIME(3,0,0), $B:$B, "&lt;" &amp; TIME(4,0,0))/10</f>
        <v>0.88550000000000006</v>
      </c>
      <c r="N5" s="9">
        <f>AVERAGEIFS(F:F, $A:$A, "=" &amp; DATE(2025,12,11), $B:$B, "&gt;=" &amp; TIME(3,0,0), $B:$B, "&lt;" &amp; TIME(4,0,0))/10</f>
        <v>0.98349999999999993</v>
      </c>
      <c r="O5" s="10">
        <f>AVERAGEIFS(G:G, $A:$A, "=" &amp; DATE(2025,12,11), $B:$B, "&gt;=" &amp; TIME(3,0,0), $B:$B, "&lt;" &amp; TIME(4,0,0))/10</f>
        <v>0</v>
      </c>
    </row>
    <row r="6" spans="1:15" x14ac:dyDescent="0.3">
      <c r="A6" s="1">
        <v>46002</v>
      </c>
      <c r="B6" s="2">
        <v>4.9039351851851855E-2</v>
      </c>
      <c r="C6">
        <v>97</v>
      </c>
      <c r="D6" s="3">
        <v>8.86</v>
      </c>
      <c r="E6">
        <v>93</v>
      </c>
      <c r="F6" s="3">
        <v>9.76</v>
      </c>
      <c r="G6">
        <v>0</v>
      </c>
      <c r="J6" t="s">
        <v>18</v>
      </c>
      <c r="K6" s="6">
        <f>AVERAGEIFS(C:C, $A:$A, "=" &amp; DATE(2025,12,11), $B:$B, "&gt;=" &amp; TIME(4,0,0), $B:$B, "&lt;" &amp; TIME(5,0,0))/10</f>
        <v>9.4400000000000013</v>
      </c>
      <c r="L6" s="6">
        <f>AVERAGEIFS(E:E, $A:$A, "=" &amp; DATE(2025,12,11), $B:$B, "&gt;=" &amp; TIME(4,0,0), $B:$B, "&lt;" &amp; TIME(5,0,0))/10</f>
        <v>9.02</v>
      </c>
      <c r="M6" s="9">
        <f>AVERAGEIFS(D:D, $A:$A, "=" &amp; DATE(2025,12,11), $B:$B, "&gt;=" &amp; TIME(4,0,0), $B:$B, "&lt;" &amp; TIME(5,0,0))/10</f>
        <v>0.88640000000000008</v>
      </c>
      <c r="N6" s="9">
        <f>AVERAGEIFS(F:F, $A:$A, "=" &amp; DATE(2025,12,11), $B:$B, "&gt;=" &amp; TIME(4,0,0), $B:$B, "&lt;" &amp; TIME(5,0,0))/10</f>
        <v>0.97160000000000013</v>
      </c>
      <c r="O6" s="10">
        <f>AVERAGEIFS(G:G, $A:$A, "=" &amp; DATE(2025,12,11), $B:$B, "&gt;=" &amp; TIME(4,0,0), $B:$B, "&lt;" &amp; TIME(5,0,0))/10</f>
        <v>0</v>
      </c>
    </row>
    <row r="7" spans="1:15" x14ac:dyDescent="0.3">
      <c r="A7" s="1">
        <v>46002</v>
      </c>
      <c r="B7" s="2">
        <v>7.6817129629629624E-2</v>
      </c>
      <c r="C7">
        <v>98</v>
      </c>
      <c r="D7" s="3">
        <v>8.89</v>
      </c>
      <c r="E7">
        <v>93</v>
      </c>
      <c r="F7" s="3">
        <v>9.83</v>
      </c>
      <c r="G7">
        <v>0</v>
      </c>
      <c r="J7" t="s">
        <v>19</v>
      </c>
      <c r="K7" s="6">
        <f>AVERAGEIFS(C:C, $A:$A, "=" &amp; DATE(2025,12,11), $B:$B, "&gt;=" &amp; TIME(5,0,0), $B:$B, "&lt;" &amp; TIME(6,0,0))/10</f>
        <v>9.4</v>
      </c>
      <c r="L7" s="6">
        <f>AVERAGEIFS(E:E, $A:$A, "=" &amp; DATE(2025,12,11), $B:$B, "&gt;=" &amp; TIME(5,0,0), $B:$B, "&lt;" &amp; TIME(6,0,0))/10</f>
        <v>9</v>
      </c>
      <c r="M7" s="9">
        <f>AVERAGEIFS(D:D, $A:$A, "=" &amp; DATE(2025,12,11), $B:$B, "&gt;=" &amp; TIME(5,0,0), $B:$B, "&lt;" &amp; TIME(6,0,0))/10</f>
        <v>0.88866666666666649</v>
      </c>
      <c r="N7" s="9">
        <f>AVERAGEIFS(F:F, $A:$A, "=" &amp; DATE(2025,12,11), $B:$B, "&gt;=" &amp; TIME(5,0,0), $B:$B, "&lt;" &amp; TIME(6,0,0))/10</f>
        <v>0.97200000000000009</v>
      </c>
      <c r="O7" s="10">
        <f>AVERAGEIFS(G:G, $A:$A, "=" &amp; DATE(2025,12,11), $B:$B, "&gt;=" &amp; TIME(5,0,0), $B:$B, "&lt;" &amp; TIME(6,0,0))/10</f>
        <v>0</v>
      </c>
    </row>
    <row r="8" spans="1:15" x14ac:dyDescent="0.3">
      <c r="A8" s="1">
        <v>46002</v>
      </c>
      <c r="B8" s="2">
        <v>0.1184837962962963</v>
      </c>
      <c r="C8">
        <v>97</v>
      </c>
      <c r="D8" s="3">
        <v>8.86</v>
      </c>
      <c r="E8">
        <v>91</v>
      </c>
      <c r="F8" s="3">
        <v>9.89</v>
      </c>
      <c r="G8">
        <v>0</v>
      </c>
      <c r="J8" t="s">
        <v>20</v>
      </c>
      <c r="K8" s="6">
        <f>AVERAGEIFS(C:C, $A:$A, "=" &amp; DATE(2025,12,11), $B:$B, "&gt;=" &amp; TIME(6,0,0), $B:$B, "&lt;" &amp; TIME(7,0,0))/10</f>
        <v>9.125</v>
      </c>
      <c r="L8" s="6">
        <f>AVERAGEIFS(E:E, $A:$A, "=" &amp; DATE(2025,12,11), $B:$B, "&gt;=" &amp; TIME(6,0,0), $B:$B, "&lt;" &amp; TIME(7,0,0))/10</f>
        <v>8.625</v>
      </c>
      <c r="M8" s="9">
        <f>AVERAGEIFS(D:D, $A:$A, "=" &amp; DATE(2025,12,11), $B:$B, "&gt;=" &amp; TIME(6,0,0), $B:$B, "&lt;" &amp; TIME(7,0,0))/10</f>
        <v>0.88525000000000009</v>
      </c>
      <c r="N8" s="9">
        <f>AVERAGEIFS(F:F, $A:$A, "=" &amp; DATE(2025,12,11), $B:$B, "&gt;=" &amp; TIME(6,0,0), $B:$B, "&lt;" &amp; TIME(7,0,0))/10</f>
        <v>0.97150000000000003</v>
      </c>
      <c r="O8" s="10">
        <f>AVERAGEIFS(G:G, $A:$A, "=" &amp; DATE(2025,12,11), $B:$B, "&gt;=" &amp; TIME(6,0,0), $B:$B, "&lt;" &amp; TIME(7,0,0))/10</f>
        <v>0</v>
      </c>
    </row>
    <row r="9" spans="1:15" x14ac:dyDescent="0.3">
      <c r="A9" s="1">
        <v>46002</v>
      </c>
      <c r="B9" s="2">
        <v>0.12542824074074074</v>
      </c>
      <c r="C9">
        <v>96</v>
      </c>
      <c r="D9" s="3">
        <v>8.85</v>
      </c>
      <c r="E9">
        <v>89</v>
      </c>
      <c r="F9" s="3">
        <v>9.91</v>
      </c>
      <c r="G9">
        <v>0</v>
      </c>
      <c r="J9" t="s">
        <v>21</v>
      </c>
      <c r="K9" s="6">
        <f>AVERAGEIFS(C:C, $A:$A, "=" &amp; DATE(2025,12,11), $B:$B, "&gt;=" &amp; TIME(7,0,0), $B:$B, "&lt;" &amp; TIME(8,0,0))/10</f>
        <v>8.9</v>
      </c>
      <c r="L9" s="6">
        <f>AVERAGEIFS(E:E, $A:$A, "=" &amp; DATE(2025,12,11), $B:$B, "&gt;=" &amp; TIME(7,0,0), $B:$B, "&lt;" &amp; TIME(8,0,0))/10</f>
        <v>8.2750000000000004</v>
      </c>
      <c r="M9" s="9">
        <f>AVERAGEIFS(D:D, $A:$A, "=" &amp; DATE(2025,12,11), $B:$B, "&gt;=" &amp; TIME(7,0,0), $B:$B, "&lt;" &amp; TIME(8,0,0))/10</f>
        <v>0.88324999999999998</v>
      </c>
      <c r="N9" s="9">
        <f>AVERAGEIFS(F:F, $A:$A, "=" &amp; DATE(2025,12,11), $B:$B, "&gt;=" &amp; TIME(7,0,0), $B:$B, "&lt;" &amp; TIME(8,0,0))/10</f>
        <v>0.99950000000000006</v>
      </c>
      <c r="O9" s="10">
        <f>AVERAGEIFS(G:G, $A:$A, "=" &amp; DATE(2025,12,11), $B:$B, "&gt;=" &amp; TIME(7,0,0), $B:$B, "&lt;" &amp; TIME(8,0,0))</f>
        <v>0.25</v>
      </c>
    </row>
    <row r="10" spans="1:15" x14ac:dyDescent="0.3">
      <c r="A10" s="1">
        <v>46002</v>
      </c>
      <c r="B10" s="2">
        <v>0.13237268518518519</v>
      </c>
      <c r="C10">
        <v>96</v>
      </c>
      <c r="D10" s="3">
        <v>8.85</v>
      </c>
      <c r="E10">
        <v>90</v>
      </c>
      <c r="F10" s="3">
        <v>9.86</v>
      </c>
      <c r="G10">
        <v>0</v>
      </c>
      <c r="J10" t="s">
        <v>22</v>
      </c>
      <c r="K10" s="6">
        <f>AVERAGEIFS(C:C, $A:$A, "=" &amp; DATE(2025,12,11), $B:$B, "&gt;=" &amp; TIME(8,0,0), $B:$B, "&lt;" &amp; TIME(9,0,0))/10</f>
        <v>9.0333333333333332</v>
      </c>
      <c r="L10" s="6">
        <f>AVERAGEIFS(E:E, $A:$A, "=" &amp; DATE(2025,12,11), $B:$B, "&gt;=" &amp; TIME(8,0,0), $B:$B, "&lt;" &amp; TIME(9,0,0))/10</f>
        <v>8.6333333333333329</v>
      </c>
      <c r="M10" s="9">
        <f>AVERAGEIFS(D:D, $A:$A, "=" &amp; DATE(2025,12,11), $B:$B, "&gt;=" &amp; TIME(8,0,0), $B:$B, "&lt;" &amp; TIME(9,0,0))/10</f>
        <v>0.89066666666666661</v>
      </c>
      <c r="N10" s="9">
        <f>AVERAGEIFS(F:F, $A:$A, "=" &amp; DATE(2025,12,11), $B:$B, "&gt;=" &amp; TIME(8,0,0), $B:$B, "&lt;" &amp; TIME(9,0,0))/10</f>
        <v>0.99866666666666659</v>
      </c>
      <c r="O10" s="10">
        <f>AVERAGEIFS(G:G, $A:$A, "=" &amp; DATE(2025,12,11), $B:$B, "&gt;=" &amp; TIME(8,0,0), $B:$B, "&lt;" &amp; TIME(9,0,0))</f>
        <v>25</v>
      </c>
    </row>
    <row r="11" spans="1:15" x14ac:dyDescent="0.3">
      <c r="A11" s="1">
        <v>46002</v>
      </c>
      <c r="B11" s="2">
        <v>0.15320601851851851</v>
      </c>
      <c r="C11">
        <v>94</v>
      </c>
      <c r="D11" s="3">
        <v>8.86</v>
      </c>
      <c r="E11">
        <v>91</v>
      </c>
      <c r="F11" s="3">
        <v>9.7799999999999994</v>
      </c>
      <c r="G11">
        <v>0</v>
      </c>
      <c r="J11" t="s">
        <v>23</v>
      </c>
      <c r="K11" s="6">
        <f>AVERAGEIFS(C:C, $A:$A, "=" &amp; DATE(2025,12,11), $B:$B, "&gt;=" &amp; TIME(9,0,0), $B:$B, "&lt;" &amp; TIME(10,0,0))/10</f>
        <v>9.3249999999999993</v>
      </c>
      <c r="L11" s="6">
        <f>AVERAGEIFS(E:E, $A:$A, "=" &amp; DATE(2025,12,11), $B:$B, "&gt;=" &amp; TIME(9,0,0), $B:$B, "&lt;" &amp; TIME(10,0,0))/10</f>
        <v>8.9749999999999996</v>
      </c>
      <c r="M11" s="9">
        <f>AVERAGEIFS(D:D, $A:$A, "=" &amp; DATE(2025,12,11), $B:$B, "&gt;=" &amp; TIME(9,0,0), $B:$B, "&lt;" &amp; TIME(10,0,0))/10</f>
        <v>0.89599999999999991</v>
      </c>
      <c r="N11" s="9">
        <f>AVERAGEIFS(F:F, $A:$A, "=" &amp; DATE(2025,12,11), $B:$B, "&gt;=" &amp; TIME(9,0,0), $B:$B, "&lt;" &amp; TIME(10,0,0))/10</f>
        <v>0.99724999999999997</v>
      </c>
      <c r="O11" s="10">
        <f>AVERAGEIFS(G:G, $A:$A, "=" &amp; DATE(2025,12,11), $B:$B, "&gt;=" &amp; TIME(9,0,0), $B:$B, "&lt;" &amp; TIME(10,0,0))</f>
        <v>74</v>
      </c>
    </row>
    <row r="12" spans="1:15" x14ac:dyDescent="0.3">
      <c r="A12" s="1">
        <v>46002</v>
      </c>
      <c r="B12" s="2">
        <v>0.16015046296296295</v>
      </c>
      <c r="C12">
        <v>94</v>
      </c>
      <c r="D12" s="3">
        <v>8.86</v>
      </c>
      <c r="E12">
        <v>90</v>
      </c>
      <c r="F12" s="3">
        <v>9.7899999999999991</v>
      </c>
      <c r="G12">
        <v>0</v>
      </c>
      <c r="J12" t="s">
        <v>24</v>
      </c>
      <c r="K12" s="6">
        <f>AVERAGEIFS(C:C, $A:$A, "=" &amp; DATE(2025,12,11), $B:$B, "&gt;=" &amp; TIME(10,0,0), $B:$B, "&lt;" &amp; TIME(11,0,0))/10</f>
        <v>9.5</v>
      </c>
      <c r="L12" s="6">
        <f>AVERAGEIFS(E:E, $A:$A, "=" &amp; DATE(2025,12,11), $B:$B, "&gt;=" &amp; TIME(10,0,0), $B:$B, "&lt;" &amp; TIME(11,0,0))/10</f>
        <v>9.1666666666666679</v>
      </c>
      <c r="M12" s="9">
        <f>AVERAGEIFS(D:D, $A:$A, "=" &amp; DATE(2025,12,11), $B:$B, "&gt;=" &amp; TIME(10,0,0), $B:$B, "&lt;" &amp; TIME(11,0,0))/10</f>
        <v>0.89966666666666684</v>
      </c>
      <c r="N12" s="9">
        <f>AVERAGEIFS(F:F, $A:$A, "=" &amp; DATE(2025,12,11), $B:$B, "&gt;=" &amp; TIME(10,0,0), $B:$B, "&lt;" &amp; TIME(11,0,0))/10</f>
        <v>1</v>
      </c>
      <c r="O12" s="10">
        <f>AVERAGEIFS(G:G, $A:$A, "=" &amp; DATE(2025,12,11), $B:$B, "&gt;=" &amp; TIME(10,0,0), $B:$B, "&lt;" &amp; TIME(11,0,0))</f>
        <v>126.33333333333333</v>
      </c>
    </row>
    <row r="13" spans="1:15" x14ac:dyDescent="0.3">
      <c r="A13" s="1">
        <v>46002</v>
      </c>
      <c r="B13" s="2">
        <v>0.1670949074074074</v>
      </c>
      <c r="C13">
        <v>95</v>
      </c>
      <c r="D13" s="3">
        <v>8.8699999999999992</v>
      </c>
      <c r="E13">
        <v>91</v>
      </c>
      <c r="F13" s="3">
        <v>9.7100000000000009</v>
      </c>
      <c r="G13">
        <v>0</v>
      </c>
      <c r="J13" t="s">
        <v>25</v>
      </c>
      <c r="K13" s="6">
        <f>AVERAGEIFS(C:C, $A:$A, "=" &amp; DATE(2025,12,11), $B:$B, "&gt;=" &amp; TIME(11,0,0), $B:$B, "&lt;" &amp; TIME(12,0,0))/10</f>
        <v>9.6750000000000007</v>
      </c>
      <c r="L13" s="6">
        <f>AVERAGEIFS(E:E, $A:$A, "=" &amp; DATE(2025,12,11), $B:$B, "&gt;=" &amp; TIME(11,0,0), $B:$B, "&lt;" &amp; TIME(12,0,0))/10</f>
        <v>9.3249999999999993</v>
      </c>
      <c r="M13" s="9">
        <f>AVERAGEIFS(D:D, $A:$A, "=" &amp; DATE(2025,12,11), $B:$B, "&gt;=" &amp; TIME(11,0,0), $B:$B, "&lt;" &amp; TIME(12,0,0))/10</f>
        <v>0.90375000000000016</v>
      </c>
      <c r="N13" s="9">
        <f>AVERAGEIFS(F:F, $A:$A, "=" &amp; DATE(2025,12,11), $B:$B, "&gt;=" &amp; TIME(11,0,0), $B:$B, "&lt;" &amp; TIME(12,0,0))/10</f>
        <v>1</v>
      </c>
      <c r="O13" s="10">
        <f>AVERAGEIFS(G:G, $A:$A, "=" &amp; DATE(2025,12,11), $B:$B, "&gt;=" &amp; TIME(11,0,0), $B:$B, "&lt;" &amp; TIME(12,0,0))</f>
        <v>120.5</v>
      </c>
    </row>
    <row r="14" spans="1:15" x14ac:dyDescent="0.3">
      <c r="A14" s="1">
        <v>46002</v>
      </c>
      <c r="B14" s="2">
        <v>0.17403935185185185</v>
      </c>
      <c r="C14">
        <v>95</v>
      </c>
      <c r="D14" s="3">
        <v>8.85</v>
      </c>
      <c r="E14">
        <v>89</v>
      </c>
      <c r="F14" s="3">
        <v>9.74</v>
      </c>
      <c r="G14">
        <v>0</v>
      </c>
      <c r="J14" t="s">
        <v>26</v>
      </c>
      <c r="K14" s="6">
        <f>AVERAGEIFS(C:C, $A:$A, "=" &amp; DATE(2025,12,11), $B:$B, "&gt;=" &amp; TIME(12,0,0), $B:$B, "&lt;" &amp; TIME(13,0,0))/10</f>
        <v>9.7666666666666675</v>
      </c>
      <c r="L14" s="6">
        <f>AVERAGEIFS(E:E, $A:$A, "=" &amp; DATE(2025,12,11), $B:$B, "&gt;=" &amp; TIME(12,0,0), $B:$B, "&lt;" &amp; TIME(13,0,0))/10</f>
        <v>9.3000000000000007</v>
      </c>
      <c r="M14" s="9">
        <f>AVERAGEIFS(D:D, $A:$A, "=" &amp; DATE(2025,12,11), $B:$B, "&gt;=" &amp; TIME(12,0,0), $B:$B, "&lt;" &amp; TIME(13,0,0))/10</f>
        <v>0.90800000000000003</v>
      </c>
      <c r="N14" s="9">
        <f>AVERAGEIFS(F:F, $A:$A, "=" &amp; DATE(2025,12,11), $B:$B, "&gt;=" &amp; TIME(12,0,0), $B:$B, "&lt;" &amp; TIME(13,0,0))/10</f>
        <v>1</v>
      </c>
      <c r="O14" s="10">
        <f>AVERAGEIFS(G:G, $A:$A, "=" &amp; DATE(2025,12,11), $B:$B, "&gt;=" &amp; TIME(12,0,0), $B:$B, "&lt;" &amp; TIME(13,0,0))</f>
        <v>108</v>
      </c>
    </row>
    <row r="15" spans="1:15" x14ac:dyDescent="0.3">
      <c r="A15" s="1">
        <v>46002</v>
      </c>
      <c r="B15" s="2">
        <v>0.18792824074074074</v>
      </c>
      <c r="C15">
        <v>94</v>
      </c>
      <c r="D15" s="3">
        <v>8.85</v>
      </c>
      <c r="E15">
        <v>89</v>
      </c>
      <c r="F15" s="3">
        <v>9.75</v>
      </c>
      <c r="G15">
        <v>0</v>
      </c>
      <c r="J15" t="s">
        <v>27</v>
      </c>
      <c r="K15" s="6">
        <f>AVERAGEIFS(C:C, $A:$A, "=" &amp; DATE(2025,12,11), $B:$B, "&gt;=" &amp; TIME(13,0,0), $B:$B, "&lt;" &amp; TIME(14,0,0))/10</f>
        <v>9.8000000000000007</v>
      </c>
      <c r="L15" s="6">
        <f>AVERAGEIFS(E:E, $A:$A, "=" &amp; DATE(2025,12,11), $B:$B, "&gt;=" &amp; TIME(13,0,0), $B:$B, "&lt;" &amp; TIME(14,0,0))/10</f>
        <v>9.3000000000000007</v>
      </c>
      <c r="M15" s="9">
        <f>AVERAGEIFS(D:D, $A:$A, "=" &amp; DATE(2025,12,11), $B:$B, "&gt;=" &amp; TIME(13,0,0), $B:$B, "&lt;" &amp; TIME(14,0,0))/10</f>
        <v>0.90733333333333321</v>
      </c>
      <c r="N15" s="9">
        <f>AVERAGEIFS(F:F, $A:$A, "=" &amp; DATE(2025,12,11), $B:$B, "&gt;=" &amp; TIME(13,0,0), $B:$B, "&lt;" &amp; TIME(14,0,0))/10</f>
        <v>1</v>
      </c>
      <c r="O15" s="10">
        <f>AVERAGEIFS(G:G, $A:$A, "=" &amp; DATE(2025,12,11), $B:$B, "&gt;=" &amp; TIME(13,0,0), $B:$B, "&lt;" &amp; TIME(14,0,0))</f>
        <v>85</v>
      </c>
    </row>
    <row r="16" spans="1:15" x14ac:dyDescent="0.3">
      <c r="A16" s="1">
        <v>46002</v>
      </c>
      <c r="B16" s="2">
        <v>0.19487268518518519</v>
      </c>
      <c r="C16">
        <v>94</v>
      </c>
      <c r="D16" s="3">
        <v>8.86</v>
      </c>
      <c r="E16">
        <v>91</v>
      </c>
      <c r="F16" s="3">
        <v>9.7100000000000009</v>
      </c>
      <c r="G16">
        <v>0</v>
      </c>
      <c r="J16" t="s">
        <v>28</v>
      </c>
      <c r="K16" s="6">
        <f>AVERAGEIFS(C:C, $A:$A, "=" &amp; DATE(2025,12,11), $B:$B, "&gt;=" &amp; TIME(14,0,0), $B:$B, "&lt;" &amp; TIME(15,0,0))/10</f>
        <v>9.8000000000000007</v>
      </c>
      <c r="L16" s="6">
        <f>AVERAGEIFS(E:E, $A:$A, "=" &amp; DATE(2025,12,11), $B:$B, "&gt;=" &amp; TIME(14,0,0), $B:$B, "&lt;" &amp; TIME(15,0,0))/10</f>
        <v>9.3000000000000007</v>
      </c>
      <c r="M16" s="9">
        <f>AVERAGEIFS(D:D, $A:$A, "=" &amp; DATE(2025,12,11), $B:$B, "&gt;=" &amp; TIME(14,0,0), $B:$B, "&lt;" &amp; TIME(15,0,0))/10</f>
        <v>0.90700000000000003</v>
      </c>
      <c r="N16" s="9">
        <f>AVERAGEIFS(F:F, $A:$A, "=" &amp; DATE(2025,12,11), $B:$B, "&gt;=" &amp; TIME(14,0,0), $B:$B, "&lt;" &amp; TIME(15,0,0))/10</f>
        <v>0.998</v>
      </c>
      <c r="O16" s="10">
        <f>AVERAGEIFS(G:G, $A:$A, "=" &amp; DATE(2025,12,11), $B:$B, "&gt;=" &amp; TIME(14,0,0), $B:$B, "&lt;" &amp; TIME(15,0,0))</f>
        <v>62</v>
      </c>
    </row>
    <row r="17" spans="1:15" x14ac:dyDescent="0.3">
      <c r="A17" s="1">
        <v>46002</v>
      </c>
      <c r="B17" s="2">
        <v>0.20181712962962964</v>
      </c>
      <c r="C17">
        <v>94</v>
      </c>
      <c r="D17" s="3">
        <v>8.89</v>
      </c>
      <c r="E17">
        <v>91</v>
      </c>
      <c r="F17" s="3">
        <v>9.67</v>
      </c>
      <c r="G17">
        <v>0</v>
      </c>
      <c r="J17" t="s">
        <v>29</v>
      </c>
      <c r="K17" s="6">
        <f>AVERAGEIFS(C:C, $A:$A, "=" &amp; DATE(2025,12,11), $B:$B, "&gt;=" &amp; TIME(15,0,0), $B:$B, "&lt;" &amp; TIME(16,0,0))/10</f>
        <v>9.74</v>
      </c>
      <c r="L17" s="6">
        <f>AVERAGEIFS(E:E, $A:$A, "=" &amp; DATE(2025,12,11), $B:$B, "&gt;=" &amp; TIME(15,0,0), $B:$B, "&lt;" &amp; TIME(16,0,0))/10</f>
        <v>9.36</v>
      </c>
      <c r="M17" s="9">
        <f>AVERAGEIFS(D:D, $A:$A, "=" &amp; DATE(2025,12,11), $B:$B, "&gt;=" &amp; TIME(15,0,0), $B:$B, "&lt;" &amp; TIME(16,0,0))/10</f>
        <v>0.90560000000000007</v>
      </c>
      <c r="N17" s="9">
        <f>AVERAGEIFS(F:F, $A:$A, "=" &amp; DATE(2025,12,11), $B:$B, "&gt;=" &amp; TIME(15,0,0), $B:$B, "&lt;" &amp; TIME(16,0,0))/10</f>
        <v>0.98360000000000003</v>
      </c>
      <c r="O17" s="10">
        <f>AVERAGEIFS(G:G, $A:$A, "=" &amp; DATE(2025,12,11), $B:$B, "&gt;=" &amp; TIME(15,0,0), $B:$B, "&lt;" &amp; TIME(16,0,0))</f>
        <v>5</v>
      </c>
    </row>
    <row r="18" spans="1:15" x14ac:dyDescent="0.3">
      <c r="A18" s="1">
        <v>46002</v>
      </c>
      <c r="B18" s="2">
        <v>0.20876157407407409</v>
      </c>
      <c r="C18">
        <v>95</v>
      </c>
      <c r="D18" s="3">
        <v>8.91</v>
      </c>
      <c r="E18">
        <v>92</v>
      </c>
      <c r="F18" s="3">
        <v>9.6300000000000008</v>
      </c>
      <c r="G18">
        <v>0</v>
      </c>
      <c r="J18" t="s">
        <v>30</v>
      </c>
      <c r="K18" s="6">
        <f>AVERAGEIFS(C:C, $A:$A, "=" &amp; DATE(2025,12,11), $B:$B, "&gt;=" &amp; TIME(16,0,0), $B:$B, "&lt;" &amp; TIME(17,0,0))/10</f>
        <v>9.5749999999999993</v>
      </c>
      <c r="L18" s="6">
        <f>AVERAGEIFS(E:E, $A:$A, "=" &amp; DATE(2025,12,11), $B:$B, "&gt;=" &amp; TIME(16,0,0), $B:$B, "&lt;" &amp; TIME(17,0,0))/10</f>
        <v>9.125</v>
      </c>
      <c r="M18" s="9">
        <f>AVERAGEIFS(D:D, $A:$A, "=" &amp; DATE(2025,12,11), $B:$B, "&gt;=" &amp; TIME(16,0,0), $B:$B, "&lt;" &amp; TIME(17,0,0))/10</f>
        <v>0.90474999999999994</v>
      </c>
      <c r="N18" s="9">
        <f>AVERAGEIFS(F:F, $A:$A, "=" &amp; DATE(2025,12,11), $B:$B, "&gt;=" &amp; TIME(16,0,0), $B:$B, "&lt;" &amp; TIME(17,0,0))/10</f>
        <v>0.98675000000000002</v>
      </c>
      <c r="O18" s="10">
        <f>AVERAGEIFS(G:G, $A:$A, "=" &amp; DATE(2025,12,11), $B:$B, "&gt;=" &amp; TIME(16,0,0), $B:$B, "&lt;" &amp; TIME(17,0,0))</f>
        <v>0</v>
      </c>
    </row>
    <row r="19" spans="1:15" x14ac:dyDescent="0.3">
      <c r="A19" s="1">
        <v>46002</v>
      </c>
      <c r="B19" s="2">
        <v>0.21570601851851851</v>
      </c>
      <c r="C19">
        <v>95</v>
      </c>
      <c r="D19" s="3">
        <v>8.92</v>
      </c>
      <c r="E19">
        <v>93</v>
      </c>
      <c r="F19" s="3">
        <v>9.6300000000000008</v>
      </c>
      <c r="G19">
        <v>0</v>
      </c>
      <c r="J19" t="s">
        <v>31</v>
      </c>
      <c r="K19" s="6">
        <f>AVERAGEIFS(C:C, $A:$A, "=" &amp; DATE(2025,12,11), $B:$B, "&gt;=" &amp; TIME(17,0,0), $B:$B, "&lt;" &amp; TIME(18,0,0))/10</f>
        <v>9.6</v>
      </c>
      <c r="L19" s="6">
        <f>AVERAGEIFS(E:E, $A:$A, "=" &amp; DATE(2025,12,11), $B:$B, "&gt;=" &amp; TIME(17,0,0), $B:$B, "&lt;" &amp; TIME(18,0,0))/10</f>
        <v>9.25</v>
      </c>
      <c r="M19" s="9">
        <f>AVERAGEIFS(D:D, $A:$A, "=" &amp; DATE(2025,12,11), $B:$B, "&gt;=" &amp; TIME(17,0,0), $B:$B, "&lt;" &amp; TIME(18,0,0))/10</f>
        <v>0.90700000000000003</v>
      </c>
      <c r="N19" s="9">
        <f>AVERAGEIFS(F:F, $A:$A, "=" &amp; DATE(2025,12,11), $B:$B, "&gt;=" &amp; TIME(17,0,0), $B:$B, "&lt;" &amp; TIME(18,0,0))/10</f>
        <v>0.96799999999999997</v>
      </c>
      <c r="O19" s="10">
        <f>AVERAGEIFS(G:G, $A:$A, "=" &amp; DATE(2025,12,11), $B:$B, "&gt;=" &amp; TIME(17,0,0), $B:$B, "&lt;" &amp; TIME(18,0,0))</f>
        <v>0</v>
      </c>
    </row>
    <row r="20" spans="1:15" x14ac:dyDescent="0.3">
      <c r="A20" s="1">
        <v>46002</v>
      </c>
      <c r="B20" s="2">
        <v>0.2434837962962963</v>
      </c>
      <c r="C20">
        <v>92</v>
      </c>
      <c r="D20" s="3">
        <v>8.83</v>
      </c>
      <c r="E20">
        <v>85</v>
      </c>
      <c r="F20" s="3">
        <v>9.9</v>
      </c>
      <c r="G20">
        <v>0</v>
      </c>
      <c r="J20" t="s">
        <v>8</v>
      </c>
      <c r="K20" s="6">
        <f>AVERAGEIFS(C:C, $A:$A, "=" &amp; DATE(2025,12,11), $B:$B, "&gt;=" &amp; TIME(18,0,0), $B:$B, "&lt;" &amp; TIME(19,0,0))/10</f>
        <v>9.65</v>
      </c>
      <c r="L20" s="6">
        <f>AVERAGEIFS(E:E, $A:$A, "=" &amp; DATE(2025,12,11), $B:$B, "&gt;=" &amp; TIME(18,0,0), $B:$B, "&lt;" &amp; TIME(19,0,0))/10</f>
        <v>9.25</v>
      </c>
      <c r="M20" s="9">
        <f>AVERAGEIFS(D:D, $A:$A, "=" &amp; DATE(2025,12,11), $B:$B, "&gt;=" &amp; TIME(18,0,0), $B:$B, "&lt;" &amp; TIME(19,0,0))/10</f>
        <v>0.90625000000000022</v>
      </c>
      <c r="N20" s="9">
        <f>AVERAGEIFS(F:F, $A:$A, "=" &amp; DATE(2025,12,11), $B:$B, "&gt;=" &amp; TIME(18,0,0), $B:$B, "&lt;" &amp; TIME(19,0,0))/10</f>
        <v>0.95299999999999996</v>
      </c>
      <c r="O20" s="10">
        <f>AVERAGEIFS(G:G, $A:$A, "=" &amp; DATE(2025,12,11), $B:$B, "&gt;=" &amp; TIME(18,0,0), $B:$B, "&lt;" &amp; TIME(19,0,0))</f>
        <v>0</v>
      </c>
    </row>
    <row r="21" spans="1:15" x14ac:dyDescent="0.3">
      <c r="A21" s="1">
        <v>46002</v>
      </c>
      <c r="B21" s="2">
        <v>0.25042824074074072</v>
      </c>
      <c r="C21">
        <v>91</v>
      </c>
      <c r="D21" s="3">
        <v>8.84</v>
      </c>
      <c r="E21">
        <v>86</v>
      </c>
      <c r="F21" s="3">
        <v>9.69</v>
      </c>
      <c r="G21">
        <v>0</v>
      </c>
      <c r="J21" t="s">
        <v>9</v>
      </c>
      <c r="K21" s="6">
        <f>AVERAGEIFS(C:C, $A:$A, "=" &amp; DATE(2025,12,11), $B:$B, "&gt;=" &amp; TIME(19,0,0), $B:$B, "&lt;" &amp; TIME(20,0,0))/10</f>
        <v>9.5250000000000004</v>
      </c>
      <c r="L21" s="6">
        <f>AVERAGEIFS(E:E, $A:$A, "=" &amp; DATE(2025,12,11), $B:$B, "&gt;=" &amp; TIME(19,0,0), $B:$B, "&lt;" &amp; TIME(20,0,0))/10</f>
        <v>9.0749999999999993</v>
      </c>
      <c r="M21" s="9">
        <f>AVERAGEIFS(D:D, $A:$A, "=" &amp; DATE(2025,12,11), $B:$B, "&gt;=" &amp; TIME(19,0,0), $B:$B, "&lt;" &amp; TIME(20,0,0))/10</f>
        <v>0.90575000000000006</v>
      </c>
      <c r="N21" s="9">
        <f>AVERAGEIFS(F:F, $A:$A, "=" &amp; DATE(2025,12,11), $B:$B, "&gt;=" &amp; TIME(19,0,0), $B:$B, "&lt;" &amp; TIME(20,0,0))/10</f>
        <v>0.97125000000000006</v>
      </c>
      <c r="O21" s="10">
        <f>AVERAGEIFS(G:G, $A:$A, "=" &amp; DATE(2025,12,11), $B:$B, "&gt;=" &amp; TIME(19,0,0), $B:$B, "&lt;" &amp; TIME(20,0,0))</f>
        <v>0</v>
      </c>
    </row>
    <row r="22" spans="1:15" x14ac:dyDescent="0.3">
      <c r="A22" s="1">
        <v>46002</v>
      </c>
      <c r="B22" s="2">
        <v>0.25737268518518519</v>
      </c>
      <c r="C22">
        <v>91</v>
      </c>
      <c r="D22" s="3">
        <v>8.84</v>
      </c>
      <c r="E22">
        <v>85</v>
      </c>
      <c r="F22" s="3">
        <v>9.75</v>
      </c>
      <c r="G22">
        <v>0</v>
      </c>
      <c r="J22" t="s">
        <v>10</v>
      </c>
      <c r="K22" s="6">
        <f>AVERAGEIFS(C:C, $A:$A, "=" &amp; DATE(2025,12,11), $B:$B, "&gt;=" &amp; TIME(20,0,0), $B:$B, "&lt;" &amp; TIME(21,0,0))/10</f>
        <v>9.6333333333333329</v>
      </c>
      <c r="L22" s="6">
        <f>AVERAGEIFS(E:E, $A:$A, "=" &amp; DATE(2025,12,11), $B:$B, "&gt;=" &amp; TIME(20,0,0), $B:$B, "&lt;" &amp; TIME(21,0,0))/10</f>
        <v>9.3333333333333321</v>
      </c>
      <c r="M22" s="9">
        <f>AVERAGEIFS(D:D, $A:$A, "=" &amp; DATE(2025,12,11), $B:$B, "&gt;=" &amp; TIME(20,0,0), $B:$B, "&lt;" &amp; TIME(21,0,0))/10</f>
        <v>0.91366666666666652</v>
      </c>
      <c r="N22" s="9">
        <f>AVERAGEIFS(F:F, $A:$A, "=" &amp; DATE(2025,12,11), $B:$B, "&gt;=" &amp; TIME(20,0,0), $B:$B, "&lt;" &amp; TIME(21,0,0))/10</f>
        <v>0.94633333333333325</v>
      </c>
      <c r="O22" s="10">
        <f>AVERAGEIFS(G:G, $A:$A, "=" &amp; DATE(2025,12,11), $B:$B, "&gt;=" &amp; TIME(20,0,0), $B:$B, "&lt;" &amp; TIME(21,0,0))</f>
        <v>0</v>
      </c>
    </row>
    <row r="23" spans="1:15" x14ac:dyDescent="0.3">
      <c r="A23" s="1">
        <v>46002</v>
      </c>
      <c r="B23" s="2">
        <v>0.26431712962962961</v>
      </c>
      <c r="C23">
        <v>91</v>
      </c>
      <c r="D23" s="3">
        <v>8.85</v>
      </c>
      <c r="E23">
        <v>88</v>
      </c>
      <c r="F23" s="3">
        <v>9.61</v>
      </c>
      <c r="G23">
        <v>0</v>
      </c>
      <c r="J23" t="s">
        <v>11</v>
      </c>
      <c r="K23" s="6">
        <f>AVERAGEIFS(C:C, $A:$A, "=" &amp; DATE(2025,12,11), $B:$B, "&gt;=" &amp; TIME(21,0,0), $B:$B, "&lt;" &amp; TIME(22,0,0))/10</f>
        <v>9.4666666666666668</v>
      </c>
      <c r="L23" s="6">
        <f>AVERAGEIFS(E:E, $A:$A, "=" &amp; DATE(2025,12,11), $B:$B, "&gt;=" &amp; TIME(21,0,0), $B:$B, "&lt;" &amp; TIME(22,0,0))/10</f>
        <v>9</v>
      </c>
      <c r="M23" s="9">
        <f>AVERAGEIFS(D:D, $A:$A, "=" &amp; DATE(2025,12,11), $B:$B, "&gt;=" &amp; TIME(21,0,0), $B:$B, "&lt;" &amp; TIME(22,0,0))/10</f>
        <v>0.90700000000000003</v>
      </c>
      <c r="N23" s="9">
        <f>AVERAGEIFS(F:F, $A:$A, "=" &amp; DATE(2025,12,11), $B:$B, "&gt;=" &amp; TIME(21,0,0), $B:$B, "&lt;" &amp; TIME(22,0,0))/10</f>
        <v>0.96099999999999997</v>
      </c>
      <c r="O23" s="10">
        <f>AVERAGEIFS(G:G, $A:$A, "=" &amp; DATE(2025,12,11), $B:$B, "&gt;=" &amp; TIME(21,0,0), $B:$B, "&lt;" &amp; TIME(22,0,0))</f>
        <v>0</v>
      </c>
    </row>
    <row r="24" spans="1:15" x14ac:dyDescent="0.3">
      <c r="A24" s="1">
        <v>46002</v>
      </c>
      <c r="B24" s="2">
        <v>0.28515046296296298</v>
      </c>
      <c r="C24">
        <v>92</v>
      </c>
      <c r="D24" s="3">
        <v>8.8800000000000008</v>
      </c>
      <c r="E24">
        <v>86</v>
      </c>
      <c r="F24" s="3">
        <v>9.81</v>
      </c>
      <c r="G24">
        <v>0</v>
      </c>
      <c r="J24" t="s">
        <v>12</v>
      </c>
      <c r="K24" s="6">
        <f>AVERAGEIFS(C:C, $A:$A, "=" &amp; DATE(2025,12,11), $B:$B, "&gt;=" &amp; TIME(22,0,0), $B:$B, "&lt;" &amp; TIME(23,0,0))/10</f>
        <v>9.375</v>
      </c>
      <c r="L24" s="6">
        <f>AVERAGEIFS(E:E, $A:$A, "=" &amp; DATE(2025,12,11), $B:$B, "&gt;=" &amp; TIME(22,0,0), $B:$B, "&lt;" &amp; TIME(23,0,0))/10</f>
        <v>8.875</v>
      </c>
      <c r="M24" s="9">
        <f>AVERAGEIFS(D:D, $A:$A, "=" &amp; DATE(2025,12,11), $B:$B, "&gt;=" &amp; TIME(22,0,0), $B:$B, "&lt;" &amp; TIME(23,0,0))/10</f>
        <v>0.90500000000000003</v>
      </c>
      <c r="N24" s="9">
        <f>AVERAGEIFS(F:F, $A:$A, "=" &amp; DATE(2025,12,11), $B:$B, "&gt;=" &amp; TIME(22,0,0), $B:$B, "&lt;" &amp; TIME(23,0,0))/10</f>
        <v>0.96400000000000008</v>
      </c>
      <c r="O24" s="10">
        <f>AVERAGEIFS(G:G, $A:$A, "=" &amp; DATE(2025,12,11), $B:$B, "&gt;=" &amp; TIME(22,0,0), $B:$B, "&lt;" &amp; TIME(23,0,0))</f>
        <v>0</v>
      </c>
    </row>
    <row r="25" spans="1:15" x14ac:dyDescent="0.3">
      <c r="A25" s="1">
        <v>46002</v>
      </c>
      <c r="B25" s="2">
        <v>0.29903935185185188</v>
      </c>
      <c r="C25">
        <v>90</v>
      </c>
      <c r="D25" s="3">
        <v>8.83</v>
      </c>
      <c r="E25">
        <v>84</v>
      </c>
      <c r="F25" s="3">
        <v>9.98</v>
      </c>
      <c r="G25">
        <v>0</v>
      </c>
      <c r="J25" t="s">
        <v>13</v>
      </c>
      <c r="K25" s="6">
        <f>AVERAGEIFS(C:C, $A:$A, "=" &amp; DATE(2025,12,11), $B:$B, "&gt;=" &amp; TIME(23,0,0), $B:$B, "&lt;" &amp; TIME(23,59,59))/10</f>
        <v>9.2249999999999996</v>
      </c>
      <c r="L25" s="6">
        <f>AVERAGEIFS(E:E, $A:$A, "=" &amp; DATE(2025,12,11), $B:$B, "&gt;=" &amp; TIME(23,0,0), $B:$B, "&lt;" &amp; TIME(23,59,59))/10</f>
        <v>8.7750000000000004</v>
      </c>
      <c r="M25" s="9">
        <f>AVERAGEIFS(D:D, $A:$A, "=" &amp; DATE(2025,12,11), $B:$B, "&gt;=" &amp; TIME(23,0,0), $B:$B, "&lt;" &amp; TIME(23,59,59))/10</f>
        <v>0.90349999999999997</v>
      </c>
      <c r="N25" s="9">
        <f>AVERAGEIFS(F:F, $A:$A, "=" &amp; DATE(2025,12,11), $B:$B, "&gt;=" &amp; TIME(23,0,0), $B:$B, "&lt;" &amp; TIME(23,59,59))/10</f>
        <v>0.97799999999999998</v>
      </c>
      <c r="O25" s="10">
        <f>AVERAGEIFS(G:G, $A:$A, "=" &amp; DATE(2025,12,11), $B:$B, "&gt;=" &amp; TIME(23,0,0), $B:$B, "&lt;" &amp; TIME(23,59,59))</f>
        <v>0</v>
      </c>
    </row>
    <row r="26" spans="1:15" x14ac:dyDescent="0.3">
      <c r="A26" s="1">
        <v>46002</v>
      </c>
      <c r="B26" s="2">
        <v>0.31292824074074072</v>
      </c>
      <c r="C26">
        <v>89</v>
      </c>
      <c r="D26" s="3">
        <v>8.83</v>
      </c>
      <c r="E26">
        <v>82</v>
      </c>
      <c r="F26" s="3">
        <v>10</v>
      </c>
      <c r="G26">
        <v>0</v>
      </c>
    </row>
    <row r="27" spans="1:15" x14ac:dyDescent="0.3">
      <c r="A27" s="1">
        <v>46002</v>
      </c>
      <c r="B27" s="2">
        <v>0.31987268518518519</v>
      </c>
      <c r="C27">
        <v>89</v>
      </c>
      <c r="D27" s="3">
        <v>8.83</v>
      </c>
      <c r="E27">
        <v>82</v>
      </c>
      <c r="F27" s="3">
        <v>10</v>
      </c>
      <c r="G27">
        <v>0</v>
      </c>
    </row>
    <row r="28" spans="1:15" x14ac:dyDescent="0.3">
      <c r="A28" s="1">
        <v>46002</v>
      </c>
      <c r="B28" s="2">
        <v>0.32681712962962961</v>
      </c>
      <c r="C28">
        <v>88</v>
      </c>
      <c r="D28" s="3">
        <v>8.84</v>
      </c>
      <c r="E28">
        <v>83</v>
      </c>
      <c r="F28" s="3">
        <v>10</v>
      </c>
      <c r="G28">
        <v>1</v>
      </c>
    </row>
    <row r="29" spans="1:15" x14ac:dyDescent="0.3">
      <c r="A29" s="1">
        <v>46002</v>
      </c>
      <c r="B29" s="2">
        <v>0.33376157407407409</v>
      </c>
      <c r="C29">
        <v>88</v>
      </c>
      <c r="D29" s="3">
        <v>8.85</v>
      </c>
      <c r="E29">
        <v>83</v>
      </c>
      <c r="F29" s="3">
        <v>10</v>
      </c>
      <c r="G29">
        <v>0</v>
      </c>
    </row>
    <row r="30" spans="1:15" x14ac:dyDescent="0.3">
      <c r="A30" s="1">
        <v>46002</v>
      </c>
      <c r="B30" s="2">
        <v>0.36153935185185188</v>
      </c>
      <c r="C30">
        <v>91</v>
      </c>
      <c r="D30" s="3">
        <v>8.93</v>
      </c>
      <c r="E30">
        <v>88</v>
      </c>
      <c r="F30" s="3">
        <v>9.98</v>
      </c>
      <c r="G30">
        <v>34</v>
      </c>
    </row>
    <row r="31" spans="1:15" x14ac:dyDescent="0.3">
      <c r="A31" s="1">
        <v>46002</v>
      </c>
      <c r="B31" s="2">
        <v>0.3684837962962963</v>
      </c>
      <c r="C31">
        <v>92</v>
      </c>
      <c r="D31" s="3">
        <v>8.94</v>
      </c>
      <c r="E31">
        <v>88</v>
      </c>
      <c r="F31" s="3">
        <v>9.98</v>
      </c>
      <c r="G31">
        <v>41</v>
      </c>
    </row>
    <row r="32" spans="1:15" x14ac:dyDescent="0.3">
      <c r="A32" s="1">
        <v>46002</v>
      </c>
      <c r="B32" s="2">
        <v>0.37542824074074072</v>
      </c>
      <c r="C32">
        <v>92</v>
      </c>
      <c r="D32" s="3">
        <v>8.94</v>
      </c>
      <c r="E32">
        <v>89</v>
      </c>
      <c r="F32" s="3">
        <v>9.9700000000000006</v>
      </c>
      <c r="G32">
        <v>41</v>
      </c>
    </row>
    <row r="33" spans="1:7" x14ac:dyDescent="0.3">
      <c r="A33" s="1">
        <v>46002</v>
      </c>
      <c r="B33" s="2">
        <v>0.38237268518518519</v>
      </c>
      <c r="C33">
        <v>92</v>
      </c>
      <c r="D33" s="3">
        <v>8.9600000000000009</v>
      </c>
      <c r="E33">
        <v>90</v>
      </c>
      <c r="F33" s="3">
        <v>9.92</v>
      </c>
      <c r="G33">
        <v>54</v>
      </c>
    </row>
    <row r="34" spans="1:7" x14ac:dyDescent="0.3">
      <c r="A34" s="1">
        <v>46002</v>
      </c>
      <c r="B34" s="2">
        <v>0.40320601851851851</v>
      </c>
      <c r="C34">
        <v>95</v>
      </c>
      <c r="D34" s="3">
        <v>8.9700000000000006</v>
      </c>
      <c r="E34">
        <v>90</v>
      </c>
      <c r="F34" s="3">
        <v>10</v>
      </c>
      <c r="G34">
        <v>85</v>
      </c>
    </row>
    <row r="35" spans="1:7" x14ac:dyDescent="0.3">
      <c r="A35" s="1">
        <v>46002</v>
      </c>
      <c r="B35" s="2">
        <v>0.41015046296296298</v>
      </c>
      <c r="C35">
        <v>94</v>
      </c>
      <c r="D35" s="3">
        <v>8.9700000000000006</v>
      </c>
      <c r="E35">
        <v>90</v>
      </c>
      <c r="F35" s="3">
        <v>10</v>
      </c>
      <c r="G35">
        <v>116</v>
      </c>
    </row>
    <row r="36" spans="1:7" x14ac:dyDescent="0.3">
      <c r="A36" s="1">
        <v>46002</v>
      </c>
      <c r="B36" s="2">
        <v>0.4170949074074074</v>
      </c>
      <c r="C36">
        <v>95</v>
      </c>
      <c r="D36" s="3">
        <v>8.98</v>
      </c>
      <c r="E36">
        <v>91</v>
      </c>
      <c r="F36" s="3">
        <v>10</v>
      </c>
      <c r="G36">
        <v>95</v>
      </c>
    </row>
    <row r="37" spans="1:7" x14ac:dyDescent="0.3">
      <c r="A37" s="1">
        <v>46002</v>
      </c>
      <c r="B37" s="2">
        <v>0.43792824074074072</v>
      </c>
      <c r="C37">
        <v>95</v>
      </c>
      <c r="D37" s="3">
        <v>9</v>
      </c>
      <c r="E37">
        <v>92</v>
      </c>
      <c r="F37" s="3">
        <v>10</v>
      </c>
      <c r="G37">
        <v>143</v>
      </c>
    </row>
    <row r="38" spans="1:7" x14ac:dyDescent="0.3">
      <c r="A38" s="1">
        <v>46002</v>
      </c>
      <c r="B38" s="2">
        <v>0.44487268518518519</v>
      </c>
      <c r="C38">
        <v>95</v>
      </c>
      <c r="D38" s="3">
        <v>9.01</v>
      </c>
      <c r="E38">
        <v>92</v>
      </c>
      <c r="F38" s="3">
        <v>10</v>
      </c>
      <c r="G38">
        <v>141</v>
      </c>
    </row>
    <row r="39" spans="1:7" x14ac:dyDescent="0.3">
      <c r="A39" s="1">
        <v>46002</v>
      </c>
      <c r="B39" s="2">
        <v>0.45876157407407409</v>
      </c>
      <c r="C39">
        <v>96</v>
      </c>
      <c r="D39" s="3">
        <v>9.0299999999999994</v>
      </c>
      <c r="E39">
        <v>93</v>
      </c>
      <c r="F39" s="3">
        <v>10</v>
      </c>
      <c r="G39">
        <v>59</v>
      </c>
    </row>
    <row r="40" spans="1:7" x14ac:dyDescent="0.3">
      <c r="A40" s="1">
        <v>46002</v>
      </c>
      <c r="B40" s="2">
        <v>0.46570601851851851</v>
      </c>
      <c r="C40">
        <v>97</v>
      </c>
      <c r="D40" s="3">
        <v>9.0399999999999991</v>
      </c>
      <c r="E40">
        <v>93</v>
      </c>
      <c r="F40" s="3">
        <v>10</v>
      </c>
      <c r="G40">
        <v>155</v>
      </c>
    </row>
    <row r="41" spans="1:7" x14ac:dyDescent="0.3">
      <c r="A41" s="1">
        <v>46002</v>
      </c>
      <c r="B41" s="2">
        <v>0.47265046296296298</v>
      </c>
      <c r="C41">
        <v>97</v>
      </c>
      <c r="D41" s="3">
        <v>9.0299999999999994</v>
      </c>
      <c r="E41">
        <v>93</v>
      </c>
      <c r="F41" s="3">
        <v>10</v>
      </c>
      <c r="G41">
        <v>155</v>
      </c>
    </row>
    <row r="42" spans="1:7" x14ac:dyDescent="0.3">
      <c r="A42" s="1">
        <v>46002</v>
      </c>
      <c r="B42" s="2">
        <v>0.4934837962962963</v>
      </c>
      <c r="C42">
        <v>97</v>
      </c>
      <c r="D42" s="3">
        <v>9.0500000000000007</v>
      </c>
      <c r="E42">
        <v>94</v>
      </c>
      <c r="F42" s="3">
        <v>10</v>
      </c>
      <c r="G42">
        <v>113</v>
      </c>
    </row>
    <row r="43" spans="1:7" x14ac:dyDescent="0.3">
      <c r="A43" s="1">
        <v>46002</v>
      </c>
      <c r="B43" s="2">
        <v>0.50042824074074077</v>
      </c>
      <c r="C43">
        <v>97</v>
      </c>
      <c r="D43" s="3">
        <v>9.0500000000000007</v>
      </c>
      <c r="E43">
        <v>93</v>
      </c>
      <c r="F43" s="3">
        <v>10</v>
      </c>
      <c r="G43">
        <v>139</v>
      </c>
    </row>
    <row r="44" spans="1:7" x14ac:dyDescent="0.3">
      <c r="A44" s="1">
        <v>46002</v>
      </c>
      <c r="B44" s="2">
        <v>0.50737268518518519</v>
      </c>
      <c r="C44">
        <v>98</v>
      </c>
      <c r="D44" s="3">
        <v>9.07</v>
      </c>
      <c r="E44">
        <v>94</v>
      </c>
      <c r="F44" s="3">
        <v>10</v>
      </c>
      <c r="G44">
        <v>156</v>
      </c>
    </row>
    <row r="45" spans="1:7" x14ac:dyDescent="0.3">
      <c r="A45" s="1">
        <v>46002</v>
      </c>
      <c r="B45" s="2">
        <v>0.53986111111111112</v>
      </c>
      <c r="C45">
        <v>98</v>
      </c>
      <c r="D45" s="3">
        <v>9.1199999999999992</v>
      </c>
      <c r="E45">
        <v>92</v>
      </c>
      <c r="F45" s="3">
        <v>10</v>
      </c>
      <c r="G45">
        <v>29</v>
      </c>
    </row>
    <row r="46" spans="1:7" x14ac:dyDescent="0.3">
      <c r="A46" s="1">
        <v>46002</v>
      </c>
      <c r="B46" s="2">
        <v>0.54680555555555554</v>
      </c>
      <c r="C46">
        <v>98</v>
      </c>
      <c r="D46" s="3">
        <v>9.09</v>
      </c>
      <c r="E46">
        <v>92</v>
      </c>
      <c r="F46" s="3">
        <v>10</v>
      </c>
      <c r="G46">
        <v>33</v>
      </c>
    </row>
    <row r="47" spans="1:7" x14ac:dyDescent="0.3">
      <c r="A47" s="1">
        <v>46002</v>
      </c>
      <c r="B47" s="2">
        <v>0.57458333333333333</v>
      </c>
      <c r="C47">
        <v>98</v>
      </c>
      <c r="D47" s="3">
        <v>9.07</v>
      </c>
      <c r="E47">
        <v>94</v>
      </c>
      <c r="F47" s="3">
        <v>10</v>
      </c>
      <c r="G47">
        <v>133</v>
      </c>
    </row>
    <row r="48" spans="1:7" x14ac:dyDescent="0.3">
      <c r="A48" s="1">
        <v>46002</v>
      </c>
      <c r="B48" s="2">
        <v>0.58152777777777775</v>
      </c>
      <c r="C48">
        <v>98</v>
      </c>
      <c r="D48" s="3">
        <v>9.06</v>
      </c>
      <c r="E48">
        <v>93</v>
      </c>
      <c r="F48" s="3">
        <v>10</v>
      </c>
      <c r="G48">
        <v>89</v>
      </c>
    </row>
    <row r="49" spans="1:7" x14ac:dyDescent="0.3">
      <c r="A49" s="1">
        <v>46002</v>
      </c>
      <c r="B49" s="2">
        <v>0.59541666666666671</v>
      </c>
      <c r="C49">
        <v>98</v>
      </c>
      <c r="D49" s="3">
        <v>9.07</v>
      </c>
      <c r="E49">
        <v>93</v>
      </c>
      <c r="F49" s="3">
        <v>9.9700000000000006</v>
      </c>
      <c r="G49">
        <v>68</v>
      </c>
    </row>
    <row r="50" spans="1:7" x14ac:dyDescent="0.3">
      <c r="A50" s="1">
        <v>46002</v>
      </c>
      <c r="B50" s="2">
        <v>0.60236111111111112</v>
      </c>
      <c r="C50">
        <v>98</v>
      </c>
      <c r="D50" s="3">
        <v>9.07</v>
      </c>
      <c r="E50">
        <v>93</v>
      </c>
      <c r="F50" s="3">
        <v>9.99</v>
      </c>
      <c r="G50">
        <v>56</v>
      </c>
    </row>
    <row r="51" spans="1:7" x14ac:dyDescent="0.3">
      <c r="A51" s="1">
        <v>46002</v>
      </c>
      <c r="B51" s="2">
        <v>0.63013888888888892</v>
      </c>
      <c r="C51">
        <v>97</v>
      </c>
      <c r="D51" s="3">
        <v>9.06</v>
      </c>
      <c r="E51">
        <v>94</v>
      </c>
      <c r="F51" s="3">
        <v>9.83</v>
      </c>
      <c r="G51">
        <v>3</v>
      </c>
    </row>
    <row r="52" spans="1:7" x14ac:dyDescent="0.3">
      <c r="A52" s="1">
        <v>46002</v>
      </c>
      <c r="B52" s="2">
        <v>0.63708333333333333</v>
      </c>
      <c r="C52">
        <v>98</v>
      </c>
      <c r="D52" s="3">
        <v>9.06</v>
      </c>
      <c r="E52">
        <v>94</v>
      </c>
      <c r="F52" s="3">
        <v>9.85</v>
      </c>
      <c r="G52">
        <v>20</v>
      </c>
    </row>
    <row r="53" spans="1:7" x14ac:dyDescent="0.3">
      <c r="A53" s="1">
        <v>46002</v>
      </c>
      <c r="B53" s="2">
        <v>0.64402777777777775</v>
      </c>
      <c r="C53">
        <v>98</v>
      </c>
      <c r="D53" s="3">
        <v>9.06</v>
      </c>
      <c r="E53">
        <v>94</v>
      </c>
      <c r="F53" s="3">
        <v>9.82</v>
      </c>
      <c r="G53">
        <v>1</v>
      </c>
    </row>
    <row r="54" spans="1:7" x14ac:dyDescent="0.3">
      <c r="A54" s="1">
        <v>46002</v>
      </c>
      <c r="B54" s="2">
        <v>0.65791666666666671</v>
      </c>
      <c r="C54">
        <v>97</v>
      </c>
      <c r="D54" s="3">
        <v>9.0500000000000007</v>
      </c>
      <c r="E54">
        <v>93</v>
      </c>
      <c r="F54" s="3">
        <v>9.85</v>
      </c>
      <c r="G54">
        <v>1</v>
      </c>
    </row>
    <row r="55" spans="1:7" x14ac:dyDescent="0.3">
      <c r="A55" s="1">
        <v>46002</v>
      </c>
      <c r="B55" s="2">
        <v>0.66486111111111112</v>
      </c>
      <c r="C55">
        <v>97</v>
      </c>
      <c r="D55" s="3">
        <v>9.0500000000000007</v>
      </c>
      <c r="E55">
        <v>93</v>
      </c>
      <c r="F55" s="3">
        <v>9.83</v>
      </c>
      <c r="G55">
        <v>0</v>
      </c>
    </row>
    <row r="56" spans="1:7" x14ac:dyDescent="0.3">
      <c r="A56" s="1">
        <v>46002</v>
      </c>
      <c r="B56" s="2">
        <v>0.67874999999999996</v>
      </c>
      <c r="C56">
        <v>97</v>
      </c>
      <c r="D56" s="3">
        <v>9.0399999999999991</v>
      </c>
      <c r="E56">
        <v>92</v>
      </c>
      <c r="F56" s="3">
        <v>9.9</v>
      </c>
      <c r="G56">
        <v>0</v>
      </c>
    </row>
    <row r="57" spans="1:7" x14ac:dyDescent="0.3">
      <c r="A57" s="1">
        <v>46002</v>
      </c>
      <c r="B57" s="2">
        <v>0.6856944444444445</v>
      </c>
      <c r="C57">
        <v>96</v>
      </c>
      <c r="D57" s="3">
        <v>9.0500000000000007</v>
      </c>
      <c r="E57">
        <v>91</v>
      </c>
      <c r="F57" s="3">
        <v>9.89</v>
      </c>
      <c r="G57">
        <v>0</v>
      </c>
    </row>
    <row r="58" spans="1:7" x14ac:dyDescent="0.3">
      <c r="A58" s="1">
        <v>46002</v>
      </c>
      <c r="B58" s="2">
        <v>0.69958333333333333</v>
      </c>
      <c r="C58">
        <v>95</v>
      </c>
      <c r="D58" s="3">
        <v>9.0500000000000007</v>
      </c>
      <c r="E58">
        <v>91</v>
      </c>
      <c r="F58" s="3">
        <v>9.8800000000000008</v>
      </c>
      <c r="G58">
        <v>0</v>
      </c>
    </row>
    <row r="59" spans="1:7" x14ac:dyDescent="0.3">
      <c r="A59" s="1">
        <v>46002</v>
      </c>
      <c r="B59" s="2">
        <v>0.70652777777777775</v>
      </c>
      <c r="C59">
        <v>95</v>
      </c>
      <c r="D59" s="3">
        <v>9.0500000000000007</v>
      </c>
      <c r="E59">
        <v>91</v>
      </c>
      <c r="F59" s="3">
        <v>9.8000000000000007</v>
      </c>
      <c r="G59">
        <v>0</v>
      </c>
    </row>
    <row r="60" spans="1:7" x14ac:dyDescent="0.3">
      <c r="A60" s="1">
        <v>46002</v>
      </c>
      <c r="B60" s="2">
        <v>0.72736111111111112</v>
      </c>
      <c r="C60">
        <v>96</v>
      </c>
      <c r="D60" s="3">
        <v>9.07</v>
      </c>
      <c r="E60">
        <v>92</v>
      </c>
      <c r="F60" s="3">
        <v>9.73</v>
      </c>
      <c r="G60">
        <v>0</v>
      </c>
    </row>
    <row r="61" spans="1:7" x14ac:dyDescent="0.3">
      <c r="A61" s="1">
        <v>46002</v>
      </c>
      <c r="B61" s="2">
        <v>0.74124999999999996</v>
      </c>
      <c r="C61">
        <v>96</v>
      </c>
      <c r="D61" s="3">
        <v>9.07</v>
      </c>
      <c r="E61">
        <v>93</v>
      </c>
      <c r="F61" s="3">
        <v>9.6300000000000008</v>
      </c>
      <c r="G61">
        <v>0</v>
      </c>
    </row>
    <row r="62" spans="1:7" x14ac:dyDescent="0.3">
      <c r="A62" s="1">
        <v>46002</v>
      </c>
      <c r="B62" s="2">
        <v>0.75513888888888892</v>
      </c>
      <c r="C62">
        <v>96</v>
      </c>
      <c r="D62" s="3">
        <v>9.07</v>
      </c>
      <c r="E62">
        <v>93</v>
      </c>
      <c r="F62" s="3">
        <v>9.49</v>
      </c>
      <c r="G62">
        <v>0</v>
      </c>
    </row>
    <row r="63" spans="1:7" x14ac:dyDescent="0.3">
      <c r="A63" s="1">
        <v>46002</v>
      </c>
      <c r="B63" s="2">
        <v>0.76902777777777775</v>
      </c>
      <c r="C63">
        <v>97</v>
      </c>
      <c r="D63" s="3">
        <v>9.06</v>
      </c>
      <c r="E63">
        <v>93</v>
      </c>
      <c r="F63" s="3">
        <v>9.48</v>
      </c>
      <c r="G63">
        <v>0</v>
      </c>
    </row>
    <row r="64" spans="1:7" x14ac:dyDescent="0.3">
      <c r="A64" s="1">
        <v>46002</v>
      </c>
      <c r="B64" s="2">
        <v>0.78291666666666671</v>
      </c>
      <c r="C64">
        <v>97</v>
      </c>
      <c r="D64" s="3">
        <v>9.06</v>
      </c>
      <c r="E64">
        <v>92</v>
      </c>
      <c r="F64" s="3">
        <v>9.5299999999999994</v>
      </c>
      <c r="G64">
        <v>0</v>
      </c>
    </row>
    <row r="65" spans="1:7" x14ac:dyDescent="0.3">
      <c r="A65" s="1">
        <v>46002</v>
      </c>
      <c r="B65" s="2">
        <v>0.78986111111111112</v>
      </c>
      <c r="C65">
        <v>96</v>
      </c>
      <c r="D65" s="3">
        <v>9.06</v>
      </c>
      <c r="E65">
        <v>92</v>
      </c>
      <c r="F65" s="3">
        <v>9.6199999999999992</v>
      </c>
      <c r="G65">
        <v>0</v>
      </c>
    </row>
    <row r="66" spans="1:7" x14ac:dyDescent="0.3">
      <c r="A66" s="1">
        <v>46002</v>
      </c>
      <c r="B66" s="2">
        <v>0.80374999999999996</v>
      </c>
      <c r="C66">
        <v>96</v>
      </c>
      <c r="D66" s="3">
        <v>9.06</v>
      </c>
      <c r="E66">
        <v>91</v>
      </c>
      <c r="F66" s="3">
        <v>9.68</v>
      </c>
      <c r="G66">
        <v>0</v>
      </c>
    </row>
    <row r="67" spans="1:7" x14ac:dyDescent="0.3">
      <c r="A67" s="1">
        <v>46002</v>
      </c>
      <c r="B67" s="2">
        <v>0.81763888888888892</v>
      </c>
      <c r="C67">
        <v>95</v>
      </c>
      <c r="D67" s="3">
        <v>9.0500000000000007</v>
      </c>
      <c r="E67">
        <v>90</v>
      </c>
      <c r="F67" s="3">
        <v>9.74</v>
      </c>
      <c r="G67">
        <v>0</v>
      </c>
    </row>
    <row r="68" spans="1:7" x14ac:dyDescent="0.3">
      <c r="A68" s="1">
        <v>46002</v>
      </c>
      <c r="B68" s="2">
        <v>0.82458333333333333</v>
      </c>
      <c r="C68">
        <v>95</v>
      </c>
      <c r="D68" s="3">
        <v>9.06</v>
      </c>
      <c r="E68">
        <v>91</v>
      </c>
      <c r="F68" s="3">
        <v>9.74</v>
      </c>
      <c r="G68">
        <v>0</v>
      </c>
    </row>
    <row r="69" spans="1:7" x14ac:dyDescent="0.3">
      <c r="A69" s="1">
        <v>46002</v>
      </c>
      <c r="B69" s="2">
        <v>0.83152777777777775</v>
      </c>
      <c r="C69">
        <v>95</v>
      </c>
      <c r="D69" s="3">
        <v>9.06</v>
      </c>
      <c r="E69">
        <v>91</v>
      </c>
      <c r="F69" s="3">
        <v>9.69</v>
      </c>
      <c r="G69">
        <v>0</v>
      </c>
    </row>
    <row r="70" spans="1:7" x14ac:dyDescent="0.3">
      <c r="A70" s="1">
        <v>46002</v>
      </c>
      <c r="B70" s="2">
        <v>0.83847222222222217</v>
      </c>
      <c r="C70">
        <v>95</v>
      </c>
      <c r="D70" s="3">
        <v>9.0500000000000007</v>
      </c>
      <c r="E70">
        <v>91</v>
      </c>
      <c r="F70" s="3">
        <v>9.59</v>
      </c>
      <c r="G70">
        <v>0</v>
      </c>
    </row>
    <row r="71" spans="1:7" x14ac:dyDescent="0.3">
      <c r="A71" s="1">
        <v>46002</v>
      </c>
      <c r="B71" s="2">
        <v>0.85253472222222226</v>
      </c>
      <c r="C71">
        <v>98</v>
      </c>
      <c r="D71" s="3">
        <v>9.2799999999999994</v>
      </c>
      <c r="E71">
        <v>97</v>
      </c>
      <c r="F71" s="3">
        <v>9.34</v>
      </c>
      <c r="G71">
        <v>0</v>
      </c>
    </row>
    <row r="72" spans="1:7" x14ac:dyDescent="0.3">
      <c r="A72" s="1">
        <v>46002</v>
      </c>
      <c r="B72" s="2">
        <v>0.8664236111111111</v>
      </c>
      <c r="C72">
        <v>96</v>
      </c>
      <c r="D72" s="3">
        <v>9.08</v>
      </c>
      <c r="E72">
        <v>92</v>
      </c>
      <c r="F72" s="3">
        <v>9.4600000000000009</v>
      </c>
      <c r="G72">
        <v>0</v>
      </c>
    </row>
    <row r="73" spans="1:7" x14ac:dyDescent="0.3">
      <c r="A73" s="1">
        <v>46002</v>
      </c>
      <c r="B73" s="2">
        <v>0.88031250000000005</v>
      </c>
      <c r="C73">
        <v>95</v>
      </c>
      <c r="D73" s="3">
        <v>9.09</v>
      </c>
      <c r="E73">
        <v>92</v>
      </c>
      <c r="F73" s="3">
        <v>9.52</v>
      </c>
      <c r="G73">
        <v>0</v>
      </c>
    </row>
    <row r="74" spans="1:7" x14ac:dyDescent="0.3">
      <c r="A74" s="1">
        <v>46002</v>
      </c>
      <c r="B74" s="2">
        <v>0.90114583333333331</v>
      </c>
      <c r="C74">
        <v>95</v>
      </c>
      <c r="D74" s="3">
        <v>9.06</v>
      </c>
      <c r="E74">
        <v>89</v>
      </c>
      <c r="F74" s="3">
        <v>9.6300000000000008</v>
      </c>
      <c r="G74">
        <v>0</v>
      </c>
    </row>
    <row r="75" spans="1:7" x14ac:dyDescent="0.3">
      <c r="A75" s="1">
        <v>46002</v>
      </c>
      <c r="B75" s="2">
        <v>0.91503472222222226</v>
      </c>
      <c r="C75">
        <v>94</v>
      </c>
      <c r="D75" s="3">
        <v>9.06</v>
      </c>
      <c r="E75">
        <v>89</v>
      </c>
      <c r="F75" s="3">
        <v>9.68</v>
      </c>
      <c r="G75">
        <v>0</v>
      </c>
    </row>
    <row r="76" spans="1:7" x14ac:dyDescent="0.3">
      <c r="A76" s="1">
        <v>46002</v>
      </c>
      <c r="B76" s="2">
        <v>0.93586805555555552</v>
      </c>
      <c r="C76">
        <v>94</v>
      </c>
      <c r="D76" s="3">
        <v>9.06</v>
      </c>
      <c r="E76">
        <v>89</v>
      </c>
      <c r="F76" s="3">
        <v>9.66</v>
      </c>
      <c r="G76">
        <v>0</v>
      </c>
    </row>
    <row r="77" spans="1:7" x14ac:dyDescent="0.3">
      <c r="A77" s="1">
        <v>46002</v>
      </c>
      <c r="B77" s="2">
        <v>0.94281250000000005</v>
      </c>
      <c r="C77">
        <v>94</v>
      </c>
      <c r="D77" s="3">
        <v>9.0500000000000007</v>
      </c>
      <c r="E77">
        <v>89</v>
      </c>
      <c r="F77" s="3">
        <v>9.61</v>
      </c>
      <c r="G77">
        <v>0</v>
      </c>
    </row>
    <row r="78" spans="1:7" x14ac:dyDescent="0.3">
      <c r="A78" s="1">
        <v>46002</v>
      </c>
      <c r="B78" s="2">
        <v>0.94975694444444447</v>
      </c>
      <c r="C78">
        <v>94</v>
      </c>
      <c r="D78" s="3">
        <v>9.0500000000000007</v>
      </c>
      <c r="E78">
        <v>89</v>
      </c>
      <c r="F78" s="3">
        <v>9.61</v>
      </c>
      <c r="G78">
        <v>0</v>
      </c>
    </row>
    <row r="79" spans="1:7" x14ac:dyDescent="0.3">
      <c r="A79" s="1">
        <v>46002</v>
      </c>
      <c r="B79" s="2">
        <v>0.95670138888888889</v>
      </c>
      <c r="C79">
        <v>93</v>
      </c>
      <c r="D79" s="3">
        <v>9.0399999999999991</v>
      </c>
      <c r="E79">
        <v>88</v>
      </c>
      <c r="F79" s="3">
        <v>9.68</v>
      </c>
      <c r="G79">
        <v>0</v>
      </c>
    </row>
    <row r="80" spans="1:7" x14ac:dyDescent="0.3">
      <c r="A80" s="1">
        <v>46002</v>
      </c>
      <c r="B80" s="2">
        <v>0.96364583333333331</v>
      </c>
      <c r="C80">
        <v>93</v>
      </c>
      <c r="D80" s="3">
        <v>9.02</v>
      </c>
      <c r="E80">
        <v>87</v>
      </c>
      <c r="F80" s="3">
        <v>9.75</v>
      </c>
      <c r="G80">
        <v>0</v>
      </c>
    </row>
    <row r="81" spans="1:7" x14ac:dyDescent="0.3">
      <c r="A81" s="1">
        <v>46002</v>
      </c>
      <c r="B81" s="2">
        <v>0.97753472222222226</v>
      </c>
      <c r="C81">
        <v>92</v>
      </c>
      <c r="D81" s="3">
        <v>9.0399999999999991</v>
      </c>
      <c r="E81">
        <v>88</v>
      </c>
      <c r="F81" s="3">
        <v>9.77</v>
      </c>
      <c r="G81">
        <v>0</v>
      </c>
    </row>
    <row r="82" spans="1:7" x14ac:dyDescent="0.3">
      <c r="A82" s="1">
        <v>46002</v>
      </c>
      <c r="B82" s="2">
        <v>0.98447916666666668</v>
      </c>
      <c r="C82">
        <v>92</v>
      </c>
      <c r="D82" s="3">
        <v>9.0399999999999991</v>
      </c>
      <c r="E82">
        <v>88</v>
      </c>
      <c r="F82" s="3">
        <v>9.7799999999999994</v>
      </c>
      <c r="G82">
        <v>0</v>
      </c>
    </row>
    <row r="83" spans="1:7" x14ac:dyDescent="0.3">
      <c r="A83" s="1">
        <v>46002</v>
      </c>
      <c r="B83" s="2">
        <v>0.99836805555555552</v>
      </c>
      <c r="C83">
        <v>92</v>
      </c>
      <c r="D83" s="3">
        <v>9.0399999999999991</v>
      </c>
      <c r="E83">
        <v>88</v>
      </c>
      <c r="F83" s="3">
        <v>9.82</v>
      </c>
      <c r="G83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E7C6-99D2-49A3-85CF-C052809A03E3}">
  <dimension ref="A1:O35"/>
  <sheetViews>
    <sheetView topLeftCell="H1" workbookViewId="0">
      <selection activeCell="M29" sqref="M29"/>
    </sheetView>
  </sheetViews>
  <sheetFormatPr defaultRowHeight="14.4" x14ac:dyDescent="0.3"/>
  <cols>
    <col min="1" max="1" width="10.33203125" bestFit="1" customWidth="1"/>
    <col min="10" max="10" width="10.77734375" bestFit="1" customWidth="1"/>
    <col min="11" max="11" width="16.21875" style="6" bestFit="1" customWidth="1"/>
    <col min="12" max="12" width="8.88671875" style="6"/>
    <col min="13" max="13" width="8.88671875" style="9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K1" s="6" t="s">
        <v>32</v>
      </c>
      <c r="L1" s="6" t="s">
        <v>33</v>
      </c>
      <c r="M1" s="9" t="s">
        <v>34</v>
      </c>
      <c r="N1" t="s">
        <v>35</v>
      </c>
      <c r="O1" t="s">
        <v>36</v>
      </c>
    </row>
    <row r="2" spans="1:15" x14ac:dyDescent="0.3">
      <c r="A2" s="1">
        <v>46003</v>
      </c>
      <c r="B2" s="2">
        <v>5.3125000000000004E-3</v>
      </c>
      <c r="C2">
        <v>92</v>
      </c>
      <c r="D2" s="3">
        <v>9.0299999999999994</v>
      </c>
      <c r="E2">
        <v>87</v>
      </c>
      <c r="F2" s="3">
        <v>9.82</v>
      </c>
      <c r="G2">
        <v>0</v>
      </c>
      <c r="J2" t="s">
        <v>14</v>
      </c>
      <c r="K2" s="6">
        <f>AVERAGEIFS(C:C, $A:$A, "=" &amp; DATE(2025,12,12), $B:$B, "&gt;=" &amp; TIME(0,0,0), $B:$B, "&lt;" &amp; TIME(1,0,0))/10</f>
        <v>9.2200000000000006</v>
      </c>
      <c r="L2" s="6">
        <f>AVERAGEIFS(E:E, $A:$A, "=" &amp; DATE(2025,12,12), $B:$B, "&gt;=" &amp; TIME(0,0,0), $B:$B, "&lt;" &amp; TIME(1,0,0))/10</f>
        <v>8.7799999999999994</v>
      </c>
      <c r="M2" s="9">
        <f>AVERAGEIFS(D:D, $A:$A, "=" &amp; DATE(2025,12,12), $B:$B, "&gt;=" &amp; TIME(0,0,0), $B:$B, "&lt;" &amp; TIME(1,0,0))/10</f>
        <v>0.90380000000000005</v>
      </c>
      <c r="N2" s="9">
        <f>AVERAGEIFS(F:F, $A:$A, "=" &amp; DATE(2025,12,12), $B:$B, "&gt;=" &amp; TIME(0,0,0), $B:$B, "&lt;" &amp; TIME(1,0,0))/10</f>
        <v>0.98040000000000005</v>
      </c>
      <c r="O2" s="5">
        <f>AVERAGEIFS(G:G, $A:$A, "=" &amp; DATE(2025,12,12), $B:$B, "&gt;=" &amp; TIME(0,0,0), $B:$B, "&lt;" &amp; TIME(1,0,0))/10</f>
        <v>0</v>
      </c>
    </row>
    <row r="3" spans="1:15" x14ac:dyDescent="0.3">
      <c r="A3" s="1">
        <v>46003</v>
      </c>
      <c r="B3" s="2">
        <v>1.9201388888888889E-2</v>
      </c>
      <c r="C3">
        <v>92</v>
      </c>
      <c r="D3" s="3">
        <v>9.0299999999999994</v>
      </c>
      <c r="E3">
        <v>87</v>
      </c>
      <c r="F3" s="3">
        <v>9.84</v>
      </c>
      <c r="G3">
        <v>0</v>
      </c>
      <c r="J3" t="s">
        <v>15</v>
      </c>
      <c r="K3" s="6">
        <f>AVERAGEIFS(C:C, $A:$A, "=" &amp; DATE(2025,12,12), $B:$B, "&gt;=" &amp; TIME(1,0,0), $B:$B, "&lt;" &amp; TIME(2,0,0))/10</f>
        <v>9.3000000000000007</v>
      </c>
      <c r="L3" s="6">
        <f>AVERAGEIFS(E:E, $A:$A, "=" &amp; DATE(2025,12,12), $B:$B, "&gt;=" &amp; TIME(1,0,0), $B:$B, "&lt;" &amp; TIME(2,0,0))/10</f>
        <v>8.8666666666666671</v>
      </c>
      <c r="M3" s="9">
        <f>AVERAGEIFS(D:D, $A:$A, "=" &amp; DATE(2025,12,12), $B:$B, "&gt;=" &amp; TIME(1,0,0), $B:$B, "&lt;" &amp; TIME(2,0,0))/10</f>
        <v>0.90566666666666662</v>
      </c>
      <c r="N3" s="9">
        <f>AVERAGEIFS(F:F, $A:$A, "=" &amp; DATE(2025,12,12), $B:$B, "&gt;=" &amp; TIME(1,0,0), $B:$B, "&lt;" &amp; TIME(2,0,0))/10</f>
        <v>0.9793333333333335</v>
      </c>
      <c r="O3" s="5">
        <f>AVERAGEIFS(G:G, $A:$A, "=" &amp; DATE(2025,12,12), $B:$B, "&gt;=" &amp; TIME(1,0,0), $B:$B, "&lt;" &amp; TIME(2,0,0))/10</f>
        <v>0</v>
      </c>
    </row>
    <row r="4" spans="1:15" x14ac:dyDescent="0.3">
      <c r="A4" s="1">
        <v>46003</v>
      </c>
      <c r="B4" s="2">
        <v>2.6145833333333333E-2</v>
      </c>
      <c r="C4">
        <v>92</v>
      </c>
      <c r="D4" s="3">
        <v>9.0399999999999991</v>
      </c>
      <c r="E4">
        <v>88</v>
      </c>
      <c r="F4" s="3">
        <v>9.8000000000000007</v>
      </c>
      <c r="G4">
        <v>0</v>
      </c>
      <c r="J4" t="s">
        <v>16</v>
      </c>
      <c r="K4" s="6">
        <f>AVERAGEIFS(C:C, $A:$A, "=" &amp; DATE(2025,12,12), $B:$B, "&gt;=" &amp; TIME(2,0,0), $B:$B, "&lt;" &amp; TIME(3,0,0))/10</f>
        <v>9.3333333333333321</v>
      </c>
      <c r="L4" s="6">
        <f>AVERAGEIFS(E:E, $A:$A, "=" &amp; DATE(2025,12,12), $B:$B, "&gt;=" &amp; TIME(2,0,0), $B:$B, "&lt;" &amp; TIME(3,0,0))/10</f>
        <v>9</v>
      </c>
      <c r="M4" s="9">
        <f>AVERAGEIFS(D:D, $A:$A, "=" &amp; DATE(2025,12,12), $B:$B, "&gt;=" &amp; TIME(2,0,0), $B:$B, "&lt;" &amp; TIME(3,0,0))/10</f>
        <v>0.90700000000000003</v>
      </c>
      <c r="N4" s="9">
        <f>AVERAGEIFS(F:F, $A:$A, "=" &amp; DATE(2025,12,12), $B:$B, "&gt;=" &amp; TIME(2,0,0), $B:$B, "&lt;" &amp; TIME(3,0,0))/10</f>
        <v>0.96899999999999997</v>
      </c>
      <c r="O4" s="5">
        <f>AVERAGEIFS(G:G, $A:$A, "=" &amp; DATE(2025,12,12), $B:$B, "&gt;=" &amp; TIME(2,0,0), $B:$B, "&lt;" &amp; TIME(3,0,0))/10</f>
        <v>0</v>
      </c>
    </row>
    <row r="5" spans="1:15" x14ac:dyDescent="0.3">
      <c r="A5" s="1">
        <v>46003</v>
      </c>
      <c r="B5" s="2">
        <v>3.3090277777777781E-2</v>
      </c>
      <c r="C5">
        <v>92</v>
      </c>
      <c r="D5" s="3">
        <v>9.0399999999999991</v>
      </c>
      <c r="E5">
        <v>88</v>
      </c>
      <c r="F5" s="3">
        <v>9.8000000000000007</v>
      </c>
      <c r="G5">
        <v>0</v>
      </c>
      <c r="J5" t="s">
        <v>17</v>
      </c>
      <c r="K5" s="6">
        <f>AVERAGEIFS(C:C, $A:$A, "=" &amp; DATE(2025,12,12), $B:$B, "&gt;=" &amp; TIME(3,0,0), $B:$B, "&lt;" &amp; TIME(4,0,0))/10</f>
        <v>9.4749999999999996</v>
      </c>
      <c r="L5" s="6">
        <f>AVERAGEIFS(E:E, $A:$A, "=" &amp; DATE(2025,12,12), $B:$B, "&gt;=" &amp; TIME(3,0,0), $B:$B, "&lt;" &amp; TIME(4,0,0))/10</f>
        <v>9.1</v>
      </c>
      <c r="M5" s="9">
        <f>AVERAGEIFS(D:D, $A:$A, "=" &amp; DATE(2025,12,12), $B:$B, "&gt;=" &amp; TIME(3,0,0), $B:$B, "&lt;" &amp; TIME(4,0,0))/10</f>
        <v>0.90800000000000003</v>
      </c>
      <c r="N5" s="9">
        <f>AVERAGEIFS(F:F, $A:$A, "=" &amp; DATE(2025,12,12), $B:$B, "&gt;=" &amp; TIME(3,0,0), $B:$B, "&lt;" &amp; TIME(4,0,0))/10</f>
        <v>0.95525000000000004</v>
      </c>
      <c r="O5" s="5">
        <f>AVERAGEIFS(G:G, $A:$A, "=" &amp; DATE(2025,12,12), $B:$B, "&gt;=" &amp; TIME(3,0,0), $B:$B, "&lt;" &amp; TIME(4,0,0))/10</f>
        <v>0</v>
      </c>
    </row>
    <row r="6" spans="1:15" x14ac:dyDescent="0.3">
      <c r="A6" s="1">
        <v>46003</v>
      </c>
      <c r="B6" s="2">
        <v>4.0034722222222222E-2</v>
      </c>
      <c r="C6">
        <v>93</v>
      </c>
      <c r="D6" s="3">
        <v>9.0500000000000007</v>
      </c>
      <c r="E6">
        <v>89</v>
      </c>
      <c r="F6" s="3">
        <v>9.76</v>
      </c>
      <c r="G6">
        <v>0</v>
      </c>
      <c r="J6" t="s">
        <v>18</v>
      </c>
      <c r="K6" s="6">
        <f>AVERAGEIFS(C:C, $A:$A, "=" &amp; DATE(2025,12,12), $B:$B, "&gt;=" &amp; TIME(4,0,0), $B:$B, "&lt;" &amp; TIME(5,0,0))/10</f>
        <v>9.4333333333333336</v>
      </c>
      <c r="L6" s="6">
        <f>AVERAGEIFS(E:E, $A:$A, "=" &amp; DATE(2025,12,12), $B:$B, "&gt;=" &amp; TIME(4,0,0), $B:$B, "&lt;" &amp; TIME(5,0,0))/10</f>
        <v>9.0333333333333332</v>
      </c>
      <c r="M6" s="9">
        <f>AVERAGEIFS(D:D, $A:$A, "=" &amp; DATE(2025,12,12), $B:$B, "&gt;=" &amp; TIME(4,0,0), $B:$B, "&lt;" &amp; TIME(5,0,0))/10</f>
        <v>0.90733333333333321</v>
      </c>
      <c r="N6" s="9">
        <f>AVERAGEIFS(F:F, $A:$A, "=" &amp; DATE(2025,12,12), $B:$B, "&gt;=" &amp; TIME(4,0,0), $B:$B, "&lt;" &amp; TIME(5,0,0))/10</f>
        <v>0.96</v>
      </c>
      <c r="O6" s="5">
        <f>AVERAGEIFS(G:G, $A:$A, "=" &amp; DATE(2025,12,12), $B:$B, "&gt;=" &amp; TIME(4,0,0), $B:$B, "&lt;" &amp; TIME(5,0,0))/10</f>
        <v>0</v>
      </c>
    </row>
    <row r="7" spans="1:15" x14ac:dyDescent="0.3">
      <c r="A7" s="1">
        <v>46003</v>
      </c>
      <c r="B7" s="2">
        <v>4.6979166666666669E-2</v>
      </c>
      <c r="C7">
        <v>93</v>
      </c>
      <c r="D7" s="3">
        <v>9.06</v>
      </c>
      <c r="E7">
        <v>89</v>
      </c>
      <c r="F7" s="3">
        <v>9.76</v>
      </c>
      <c r="G7">
        <v>0</v>
      </c>
      <c r="J7" t="s">
        <v>19</v>
      </c>
      <c r="K7" s="6">
        <f>AVERAGEIFS(C:C, $A:$A, "=" &amp; DATE(2025,12,12), $B:$B, "&gt;=" &amp; TIME(5,0,0), $B:$B, "&lt;" &amp; TIME(6,0,0))/10</f>
        <v>9.3000000000000007</v>
      </c>
      <c r="L7" s="6">
        <f>AVERAGEIFS(E:E, $A:$A, "=" &amp; DATE(2025,12,12), $B:$B, "&gt;=" &amp; TIME(5,0,0), $B:$B, "&lt;" &amp; TIME(6,0,0))/10</f>
        <v>8.7333333333333325</v>
      </c>
      <c r="M7" s="9">
        <f>AVERAGEIFS(D:D, $A:$A, "=" &amp; DATE(2025,12,12), $B:$B, "&gt;=" &amp; TIME(5,0,0), $B:$B, "&lt;" &amp; TIME(6,0,0))/10</f>
        <v>0.90666666666666684</v>
      </c>
      <c r="N7" s="9">
        <f>AVERAGEIFS(F:F, $A:$A, "=" &amp; DATE(2025,12,12), $B:$B, "&gt;=" &amp; TIME(5,0,0), $B:$B, "&lt;" &amp; TIME(6,0,0))/10</f>
        <v>0.9816666666666668</v>
      </c>
      <c r="O7" s="5">
        <f>AVERAGEIFS(G:G, $A:$A, "=" &amp; DATE(2025,12,12), $B:$B, "&gt;=" &amp; TIME(5,0,0), $B:$B, "&lt;" &amp; TIME(6,0,0))/10</f>
        <v>0</v>
      </c>
    </row>
    <row r="8" spans="1:15" x14ac:dyDescent="0.3">
      <c r="A8" s="1">
        <v>46003</v>
      </c>
      <c r="B8" s="2">
        <v>5.392361111111111E-2</v>
      </c>
      <c r="C8">
        <v>93</v>
      </c>
      <c r="D8" s="3">
        <v>9.06</v>
      </c>
      <c r="E8">
        <v>89</v>
      </c>
      <c r="F8" s="3">
        <v>9.76</v>
      </c>
      <c r="G8">
        <v>0</v>
      </c>
      <c r="J8" t="s">
        <v>20</v>
      </c>
      <c r="K8" s="6">
        <f>AVERAGEIFS(C:C, $A:$A, "=" &amp; DATE(2025,12,12), $B:$B, "&gt;=" &amp; TIME(6,0,0), $B:$B, "&lt;" &amp; TIME(7,0,0))/10</f>
        <v>9.18</v>
      </c>
      <c r="L8" s="6">
        <f>AVERAGEIFS(E:E, $A:$A, "=" &amp; DATE(2025,12,12), $B:$B, "&gt;=" &amp; TIME(6,0,0), $B:$B, "&lt;" &amp; TIME(7,0,0))/10</f>
        <v>8.68</v>
      </c>
      <c r="M8" s="9">
        <f>AVERAGEIFS(D:D, $A:$A, "=" &amp; DATE(2025,12,12), $B:$B, "&gt;=" &amp; TIME(6,0,0), $B:$B, "&lt;" &amp; TIME(7,0,0))/10</f>
        <v>0.90680000000000016</v>
      </c>
      <c r="N8" s="9">
        <f>AVERAGEIFS(F:F, $A:$A, "=" &amp; DATE(2025,12,12), $B:$B, "&gt;=" &amp; TIME(6,0,0), $B:$B, "&lt;" &amp; TIME(7,0,0))/10</f>
        <v>0.9788</v>
      </c>
      <c r="O8" s="5">
        <f>AVERAGEIFS(G:G, $A:$A, "=" &amp; DATE(2025,12,12), $B:$B, "&gt;=" &amp; TIME(6,0,0), $B:$B, "&lt;" &amp; TIME(7,0,0))/10</f>
        <v>0</v>
      </c>
    </row>
    <row r="9" spans="1:15" x14ac:dyDescent="0.3">
      <c r="A9" s="1">
        <v>46003</v>
      </c>
      <c r="B9" s="2">
        <v>6.0868055555555557E-2</v>
      </c>
      <c r="C9">
        <v>93</v>
      </c>
      <c r="D9" s="3">
        <v>9.06</v>
      </c>
      <c r="E9">
        <v>88</v>
      </c>
      <c r="F9" s="3">
        <v>9.8000000000000007</v>
      </c>
      <c r="G9">
        <v>0</v>
      </c>
      <c r="J9" t="s">
        <v>21</v>
      </c>
      <c r="K9" s="6">
        <f>AVERAGEIFS(C:C, $A:$A, "=" &amp; DATE(2025,12,12), $B:$B, "&gt;=" &amp; TIME(7,0,0), $B:$B, "&lt;" &amp; TIME(8,0,0))/10</f>
        <v>9.0250000000000004</v>
      </c>
      <c r="L9" s="6">
        <f>AVERAGEIFS(E:E, $A:$A, "=" &amp; DATE(2025,12,12), $B:$B, "&gt;=" &amp; TIME(7,0,0), $B:$B, "&lt;" &amp; TIME(8,0,0))/10</f>
        <v>8.5749999999999993</v>
      </c>
      <c r="M9" s="9">
        <f>AVERAGEIFS(D:D, $A:$A, "=" &amp; DATE(2025,12,12), $B:$B, "&gt;=" &amp; TIME(7,0,0), $B:$B, "&lt;" &amp; TIME(8,0,0))/10</f>
        <v>0.90525</v>
      </c>
      <c r="N9" s="9">
        <f>AVERAGEIFS(F:F, $A:$A, "=" &amp; DATE(2025,12,12), $B:$B, "&gt;=" &amp; TIME(7,0,0), $B:$B, "&lt;" &amp; TIME(8,0,0))/10</f>
        <v>0.95749999999999991</v>
      </c>
      <c r="O9" s="5">
        <f>AVERAGEIFS(G:G, $A:$A, "=" &amp; DATE(2025,12,12), $B:$B, "&gt;=" &amp; TIME(7,0,0), $B:$B, "&lt;" &amp; TIME(8,0,0))/10</f>
        <v>0</v>
      </c>
    </row>
    <row r="10" spans="1:15" x14ac:dyDescent="0.3">
      <c r="A10" s="1">
        <v>46003</v>
      </c>
      <c r="B10" s="2">
        <v>6.7812499999999998E-2</v>
      </c>
      <c r="C10">
        <v>93</v>
      </c>
      <c r="D10" s="3">
        <v>9.0500000000000007</v>
      </c>
      <c r="E10">
        <v>89</v>
      </c>
      <c r="F10" s="3">
        <v>9.81</v>
      </c>
      <c r="G10">
        <v>0</v>
      </c>
      <c r="J10" t="s">
        <v>22</v>
      </c>
      <c r="K10" s="6">
        <f>AVERAGEIFS(C:C, $A:$A, "=" &amp; DATE(2025,12,12), $B:$B, "&gt;=" &amp; TIME(8,0,0), $B:$B, "&lt;" &amp; TIME(9,0,0))/10</f>
        <v>8.9</v>
      </c>
      <c r="L10" s="6">
        <f>AVERAGEIFS(E:E, $A:$A, "=" &amp; DATE(2025,12,12), $B:$B, "&gt;=" &amp; TIME(8,0,0), $B:$B, "&lt;" &amp; TIME(9,0,0))/10</f>
        <v>8.5</v>
      </c>
      <c r="M10" s="9">
        <f>AVERAGEIFS(D:D, $A:$A, "=" &amp; DATE(2025,12,12), $B:$B, "&gt;=" &amp; TIME(8,0,0), $B:$B, "&lt;" &amp; TIME(9,0,0))/10</f>
        <v>0.90600000000000003</v>
      </c>
      <c r="N10" s="9">
        <f>AVERAGEIFS(F:F, $A:$A, "=" &amp; DATE(2025,12,12), $B:$B, "&gt;=" &amp; TIME(8,0,0), $B:$B, "&lt;" &amp; TIME(9,0,0))/10</f>
        <v>0.95099999999999996</v>
      </c>
      <c r="O10" s="5">
        <f>AVERAGEIFS(G:G, $A:$A, "=" &amp; DATE(2025,12,12), $B:$B, "&gt;=" &amp; TIME(8,0,0), $B:$B, "&lt;" &amp; TIME(9,0,0))/10</f>
        <v>0.7</v>
      </c>
    </row>
    <row r="11" spans="1:15" x14ac:dyDescent="0.3">
      <c r="A11" s="1">
        <v>46003</v>
      </c>
      <c r="B11" s="2">
        <v>7.4756944444444445E-2</v>
      </c>
      <c r="C11">
        <v>93</v>
      </c>
      <c r="D11" s="3">
        <v>9.0500000000000007</v>
      </c>
      <c r="E11">
        <v>88</v>
      </c>
      <c r="F11" s="3">
        <v>9.82</v>
      </c>
      <c r="G11">
        <v>0</v>
      </c>
      <c r="J11" t="s">
        <v>23</v>
      </c>
      <c r="K11" s="6" t="e">
        <f>AVERAGEIFS(C:C, $A:$A, "=" &amp; DATE(2025,12,12), $B:$B, "&gt;=" &amp; TIME(9,0,0), $B:$B, "&lt;" &amp; TIME(10,0,0))/10</f>
        <v>#DIV/0!</v>
      </c>
      <c r="L11" s="6" t="e">
        <f>AVERAGEIFS(E:E, $A:$A, "=" &amp; DATE(2025,12,12), $B:$B, "&gt;=" &amp; TIME(9,0,0), $B:$B, "&lt;" &amp; TIME(10,0,0))/10</f>
        <v>#DIV/0!</v>
      </c>
      <c r="M11" s="9" t="e">
        <f>AVERAGEIFS(D:D, $A:$A, "=" &amp; DATE(2025,12,12), $B:$B, "&gt;=" &amp; TIME(9,0,0), $B:$B, "&lt;" &amp; TIME(10,0,0))/10</f>
        <v>#DIV/0!</v>
      </c>
      <c r="N11" s="9" t="e">
        <f>AVERAGEIFS(F:F, $A:$A, "=" &amp; DATE(2025,12,12), $B:$B, "&gt;=" &amp; TIME(9,0,0), $B:$B, "&lt;" &amp; TIME(10,0,0))/10</f>
        <v>#DIV/0!</v>
      </c>
      <c r="O11" s="5" t="e">
        <f>AVERAGEIFS(G:G, $A:$A, "=" &amp; DATE(2025,12,12), $B:$B, "&gt;=" &amp; TIME(9,0,0), $B:$B, "&lt;" &amp; TIME(10,0,0))/10</f>
        <v>#DIV/0!</v>
      </c>
    </row>
    <row r="12" spans="1:15" x14ac:dyDescent="0.3">
      <c r="A12" s="1">
        <v>46003</v>
      </c>
      <c r="B12" s="2">
        <v>8.1701388888888893E-2</v>
      </c>
      <c r="C12">
        <v>93</v>
      </c>
      <c r="D12" s="3">
        <v>9.06</v>
      </c>
      <c r="E12">
        <v>89</v>
      </c>
      <c r="F12" s="3">
        <v>9.81</v>
      </c>
      <c r="G12">
        <v>0</v>
      </c>
      <c r="J12" t="s">
        <v>24</v>
      </c>
      <c r="K12" s="6" t="e">
        <f>AVERAGEIFS(C:C, $A:$A, "=" &amp; DATE(2025,12,12), $B:$B, "&gt;=" &amp; TIME(10,0,0), $B:$B, "&lt;" &amp; TIME(11,0,0))/10</f>
        <v>#DIV/0!</v>
      </c>
      <c r="L12" s="6" t="e">
        <f>AVERAGEIFS(E:E, $A:$A, "=" &amp; DATE(2025,12,12), $B:$B, "&gt;=" &amp; TIME(10,0,0), $B:$B, "&lt;" &amp; TIME(11,0,0))/10</f>
        <v>#DIV/0!</v>
      </c>
      <c r="M12" s="9" t="e">
        <f>AVERAGEIFS(D:D, $A:$A, "=" &amp; DATE(2025,12,12), $B:$B, "&gt;=" &amp; TIME(10,0,0), $B:$B, "&lt;" &amp; TIME(11,0,0))/10</f>
        <v>#DIV/0!</v>
      </c>
      <c r="N12" s="9" t="e">
        <f>AVERAGEIFS(F:F, $A:$A, "=" &amp; DATE(2025,12,12), $B:$B, "&gt;=" &amp; TIME(10,0,0), $B:$B, "&lt;" &amp; TIME(11,0,0))/10</f>
        <v>#DIV/0!</v>
      </c>
      <c r="O12" s="5" t="e">
        <f>AVERAGEIFS(G:G, $A:$A, "=" &amp; DATE(2025,12,12), $B:$B, "&gt;=" &amp; TIME(10,0,0), $B:$B, "&lt;" &amp; TIME(11,0,0))/10</f>
        <v>#DIV/0!</v>
      </c>
    </row>
    <row r="13" spans="1:15" x14ac:dyDescent="0.3">
      <c r="A13" s="1">
        <v>46003</v>
      </c>
      <c r="B13" s="2">
        <v>8.8645833333333326E-2</v>
      </c>
      <c r="C13">
        <v>93</v>
      </c>
      <c r="D13" s="3">
        <v>9.06</v>
      </c>
      <c r="E13">
        <v>89</v>
      </c>
      <c r="F13" s="3">
        <v>9.7799999999999994</v>
      </c>
      <c r="G13">
        <v>0</v>
      </c>
      <c r="J13" t="s">
        <v>25</v>
      </c>
      <c r="K13" s="6" t="e">
        <f>AVERAGEIFS(C:C, $A:$A, "=" &amp; DATE(2025,12,12), $B:$B, "&gt;=" &amp; TIME(11,0,0), $B:$B, "&lt;" &amp; TIME(12,0,0))/10</f>
        <v>#DIV/0!</v>
      </c>
      <c r="L13" s="6" t="e">
        <f>AVERAGEIFS(E:E, $A:$A, "=" &amp; DATE(2025,12,12), $B:$B, "&gt;=" &amp; TIME(11,0,0), $B:$B, "&lt;" &amp; TIME(12,0,0))/10</f>
        <v>#DIV/0!</v>
      </c>
      <c r="M13" s="9" t="e">
        <f>AVERAGEIFS(D:D, $A:$A, "=" &amp; DATE(2025,12,12), $B:$B, "&gt;=" &amp; TIME(11,0,0), $B:$B, "&lt;" &amp; TIME(12,0,0))/10</f>
        <v>#DIV/0!</v>
      </c>
      <c r="N13" s="9" t="e">
        <f>AVERAGEIFS(F:F, $A:$A, "=" &amp; DATE(2025,12,12), $B:$B, "&gt;=" &amp; TIME(11,0,0), $B:$B, "&lt;" &amp; TIME(12,0,0))/10</f>
        <v>#DIV/0!</v>
      </c>
      <c r="O13" s="5" t="e">
        <f>AVERAGEIFS(G:G, $A:$A, "=" &amp; DATE(2025,12,12), $B:$B, "&gt;=" &amp; TIME(11,0,0), $B:$B, "&lt;" &amp; TIME(12,0,0))/10</f>
        <v>#DIV/0!</v>
      </c>
    </row>
    <row r="14" spans="1:15" x14ac:dyDescent="0.3">
      <c r="A14" s="1">
        <v>46003</v>
      </c>
      <c r="B14" s="2">
        <v>0.10253472222222222</v>
      </c>
      <c r="C14">
        <v>93</v>
      </c>
      <c r="D14" s="3">
        <v>9.07</v>
      </c>
      <c r="E14">
        <v>90</v>
      </c>
      <c r="F14" s="3">
        <v>9.6999999999999993</v>
      </c>
      <c r="G14">
        <v>0</v>
      </c>
      <c r="J14" t="s">
        <v>26</v>
      </c>
      <c r="K14" s="6" t="e">
        <f>AVERAGEIFS(C:C, $A:$A, "=" &amp; DATE(2025,12,12), $B:$B, "&gt;=" &amp; TIME(12,0,0), $B:$B, "&lt;" &amp; TIME(13,0,0))/10</f>
        <v>#DIV/0!</v>
      </c>
      <c r="L14" s="6" t="e">
        <f>AVERAGEIFS(E:E, $A:$A, "=" &amp; DATE(2025,12,12), $B:$B, "&gt;=" &amp; TIME(12,0,0), $B:$B, "&lt;" &amp; TIME(13,0,0))/10</f>
        <v>#DIV/0!</v>
      </c>
      <c r="M14" s="9" t="e">
        <f>AVERAGEIFS(D:D, $A:$A, "=" &amp; DATE(2025,12,12), $B:$B, "&gt;=" &amp; TIME(12,0,0), $B:$B, "&lt;" &amp; TIME(13,0,0))/10</f>
        <v>#DIV/0!</v>
      </c>
      <c r="N14" s="9" t="e">
        <f>AVERAGEIFS(F:F, $A:$A, "=" &amp; DATE(2025,12,12), $B:$B, "&gt;=" &amp; TIME(12,0,0), $B:$B, "&lt;" &amp; TIME(13,0,0))/10</f>
        <v>#DIV/0!</v>
      </c>
      <c r="O14" s="5" t="e">
        <f>AVERAGEIFS(G:G, $A:$A, "=" &amp; DATE(2025,12,12), $B:$B, "&gt;=" &amp; TIME(12,0,0), $B:$B, "&lt;" &amp; TIME(13,0,0))/10</f>
        <v>#DIV/0!</v>
      </c>
    </row>
    <row r="15" spans="1:15" x14ac:dyDescent="0.3">
      <c r="A15" s="1">
        <v>46003</v>
      </c>
      <c r="B15" s="2">
        <v>0.11642361111111112</v>
      </c>
      <c r="C15">
        <v>94</v>
      </c>
      <c r="D15" s="3">
        <v>9.08</v>
      </c>
      <c r="E15">
        <v>91</v>
      </c>
      <c r="F15" s="3">
        <v>9.59</v>
      </c>
      <c r="G15">
        <v>0</v>
      </c>
      <c r="J15" t="s">
        <v>27</v>
      </c>
      <c r="K15" s="6" t="e">
        <f>AVERAGEIFS(C:C, $A:$A, "=" &amp; DATE(2025,12,12), $B:$B, "&gt;=" &amp; TIME(13,0,0), $B:$B, "&lt;" &amp; TIME(14,0,0))/10</f>
        <v>#DIV/0!</v>
      </c>
      <c r="L15" s="6" t="e">
        <f>AVERAGEIFS(E:E, $A:$A, "=" &amp; DATE(2025,12,12), $B:$B, "&gt;=" &amp; TIME(13,0,0), $B:$B, "&lt;" &amp; TIME(14,0,0))/10</f>
        <v>#DIV/0!</v>
      </c>
      <c r="M15" s="9" t="e">
        <f>AVERAGEIFS(D:D, $A:$A, "=" &amp; DATE(2025,12,12), $B:$B, "&gt;=" &amp; TIME(13,0,0), $B:$B, "&lt;" &amp; TIME(14,0,0))/10</f>
        <v>#DIV/0!</v>
      </c>
      <c r="N15" s="9" t="e">
        <f>AVERAGEIFS(F:F, $A:$A, "=" &amp; DATE(2025,12,12), $B:$B, "&gt;=" &amp; TIME(13,0,0), $B:$B, "&lt;" &amp; TIME(14,0,0))/10</f>
        <v>#DIV/0!</v>
      </c>
      <c r="O15" s="5" t="e">
        <f>AVERAGEIFS(G:G, $A:$A, "=" &amp; DATE(2025,12,12), $B:$B, "&gt;=" &amp; TIME(13,0,0), $B:$B, "&lt;" &amp; TIME(14,0,0))/10</f>
        <v>#DIV/0!</v>
      </c>
    </row>
    <row r="16" spans="1:15" x14ac:dyDescent="0.3">
      <c r="A16" s="1">
        <v>46003</v>
      </c>
      <c r="B16" s="2">
        <v>0.1303125</v>
      </c>
      <c r="C16">
        <v>94</v>
      </c>
      <c r="D16" s="3">
        <v>9.08</v>
      </c>
      <c r="E16">
        <v>91</v>
      </c>
      <c r="F16" s="3">
        <v>9.57</v>
      </c>
      <c r="G16">
        <v>0</v>
      </c>
      <c r="J16" t="s">
        <v>28</v>
      </c>
      <c r="K16" s="6" t="e">
        <f>AVERAGEIFS(C:C, $A:$A, "=" &amp; DATE(2025,12,12), $B:$B, "&gt;=" &amp; TIME(14,0,0), $B:$B, "&lt;" &amp; TIME(15,0,0))/10</f>
        <v>#DIV/0!</v>
      </c>
      <c r="L16" s="6" t="e">
        <f>AVERAGEIFS(E:E, $A:$A, "=" &amp; DATE(2025,12,12), $B:$B, "&gt;=" &amp; TIME(14,0,0), $B:$B, "&lt;" &amp; TIME(15,0,0))/10</f>
        <v>#DIV/0!</v>
      </c>
      <c r="M16" s="9" t="e">
        <f>AVERAGEIFS(D:D, $A:$A, "=" &amp; DATE(2025,12,12), $B:$B, "&gt;=" &amp; TIME(14,0,0), $B:$B, "&lt;" &amp; TIME(15,0,0))/10</f>
        <v>#DIV/0!</v>
      </c>
      <c r="N16" s="9" t="e">
        <f>AVERAGEIFS(F:F, $A:$A, "=" &amp; DATE(2025,12,12), $B:$B, "&gt;=" &amp; TIME(14,0,0), $B:$B, "&lt;" &amp; TIME(15,0,0))/10</f>
        <v>#DIV/0!</v>
      </c>
      <c r="O16" s="5" t="e">
        <f>AVERAGEIFS(G:G, $A:$A, "=" &amp; DATE(2025,12,12), $B:$B, "&gt;=" &amp; TIME(14,0,0), $B:$B, "&lt;" &amp; TIME(15,0,0))/10</f>
        <v>#DIV/0!</v>
      </c>
    </row>
    <row r="17" spans="1:15" x14ac:dyDescent="0.3">
      <c r="A17" s="1">
        <v>46003</v>
      </c>
      <c r="B17" s="2">
        <v>0.14420138888888889</v>
      </c>
      <c r="C17">
        <v>95</v>
      </c>
      <c r="D17" s="3">
        <v>9.08</v>
      </c>
      <c r="E17">
        <v>91</v>
      </c>
      <c r="F17" s="3">
        <v>9.5500000000000007</v>
      </c>
      <c r="G17">
        <v>0</v>
      </c>
      <c r="J17" t="s">
        <v>29</v>
      </c>
      <c r="K17" s="6" t="e">
        <f>AVERAGEIFS(C:C, $A:$A, "=" &amp; DATE(2025,12,12), $B:$B, "&gt;=" &amp; TIME(15,0,0), $B:$B, "&lt;" &amp; TIME(16,0,0))/10</f>
        <v>#DIV/0!</v>
      </c>
      <c r="L17" s="6" t="e">
        <f>AVERAGEIFS(E:E, $A:$A, "=" &amp; DATE(2025,12,12), $B:$B, "&gt;=" &amp; TIME(15,0,0), $B:$B, "&lt;" &amp; TIME(16,0,0))/10</f>
        <v>#DIV/0!</v>
      </c>
      <c r="M17" s="9" t="e">
        <f>AVERAGEIFS(D:D, $A:$A, "=" &amp; DATE(2025,12,12), $B:$B, "&gt;=" &amp; TIME(15,0,0), $B:$B, "&lt;" &amp; TIME(16,0,0))/10</f>
        <v>#DIV/0!</v>
      </c>
      <c r="N17" s="9" t="e">
        <f>AVERAGEIFS(F:F, $A:$A, "=" &amp; DATE(2025,12,12), $B:$B, "&gt;=" &amp; TIME(15,0,0), $B:$B, "&lt;" &amp; TIME(16,0,0))/10</f>
        <v>#DIV/0!</v>
      </c>
      <c r="O17" s="5" t="e">
        <f>AVERAGEIFS(G:G, $A:$A, "=" &amp; DATE(2025,12,12), $B:$B, "&gt;=" &amp; TIME(15,0,0), $B:$B, "&lt;" &amp; TIME(16,0,0))/10</f>
        <v>#DIV/0!</v>
      </c>
    </row>
    <row r="18" spans="1:15" x14ac:dyDescent="0.3">
      <c r="A18" s="1">
        <v>46003</v>
      </c>
      <c r="B18" s="2">
        <v>0.15114583333333334</v>
      </c>
      <c r="C18">
        <v>95</v>
      </c>
      <c r="D18" s="3">
        <v>9.08</v>
      </c>
      <c r="E18">
        <v>91</v>
      </c>
      <c r="F18" s="3">
        <v>9.5399999999999991</v>
      </c>
      <c r="G18">
        <v>0</v>
      </c>
      <c r="J18" t="s">
        <v>30</v>
      </c>
      <c r="K18" s="6" t="e">
        <f>AVERAGEIFS(C:C, $A:$A, "=" &amp; DATE(2025,12,12), $B:$B, "&gt;=" &amp; TIME(16,0,0), $B:$B, "&lt;" &amp; TIME(17,0,0))/10</f>
        <v>#DIV/0!</v>
      </c>
      <c r="L18" s="6" t="e">
        <f>AVERAGEIFS(E:E, $A:$A, "=" &amp; DATE(2025,12,12), $B:$B, "&gt;=" &amp; TIME(16,0,0), $B:$B, "&lt;" &amp; TIME(17,0,0))/10</f>
        <v>#DIV/0!</v>
      </c>
      <c r="M18" s="9" t="e">
        <f>AVERAGEIFS(D:D, $A:$A, "=" &amp; DATE(2025,12,12), $B:$B, "&gt;=" &amp; TIME(16,0,0), $B:$B, "&lt;" &amp; TIME(17,0,0))/10</f>
        <v>#DIV/0!</v>
      </c>
      <c r="N18" s="9" t="e">
        <f>AVERAGEIFS(F:F, $A:$A, "=" &amp; DATE(2025,12,12), $B:$B, "&gt;=" &amp; TIME(16,0,0), $B:$B, "&lt;" &amp; TIME(17,0,0))/10</f>
        <v>#DIV/0!</v>
      </c>
      <c r="O18" s="5" t="e">
        <f>AVERAGEIFS(G:G, $A:$A, "=" &amp; DATE(2025,12,12), $B:$B, "&gt;=" &amp; TIME(16,0,0), $B:$B, "&lt;" &amp; TIME(17,0,0))/10</f>
        <v>#DIV/0!</v>
      </c>
    </row>
    <row r="19" spans="1:15" x14ac:dyDescent="0.3">
      <c r="A19" s="1">
        <v>46003</v>
      </c>
      <c r="B19" s="2">
        <v>0.15809027777777779</v>
      </c>
      <c r="C19">
        <v>95</v>
      </c>
      <c r="D19" s="3">
        <v>9.08</v>
      </c>
      <c r="E19">
        <v>91</v>
      </c>
      <c r="F19" s="3">
        <v>9.5500000000000007</v>
      </c>
      <c r="G19">
        <v>0</v>
      </c>
      <c r="J19" t="s">
        <v>31</v>
      </c>
      <c r="K19" s="6" t="e">
        <f>AVERAGEIFS(C:C, $A:$A, "=" &amp; DATE(2025,12,12), $B:$B, "&gt;=" &amp; TIME(17,0,0), $B:$B, "&lt;" &amp; TIME(18,0,0))/10</f>
        <v>#DIV/0!</v>
      </c>
      <c r="L19" s="6" t="e">
        <f>AVERAGEIFS(E:E, $A:$A, "=" &amp; DATE(2025,12,12), $B:$B, "&gt;=" &amp; TIME(17,0,0), $B:$B, "&lt;" &amp; TIME(18,0,0))/10</f>
        <v>#DIV/0!</v>
      </c>
      <c r="M19" s="9" t="e">
        <f>AVERAGEIFS(D:D, $A:$A, "=" &amp; DATE(2025,12,12), $B:$B, "&gt;=" &amp; TIME(17,0,0), $B:$B, "&lt;" &amp; TIME(18,0,0))/10</f>
        <v>#DIV/0!</v>
      </c>
      <c r="N19" s="9" t="e">
        <f>AVERAGEIFS(F:F, $A:$A, "=" &amp; DATE(2025,12,12), $B:$B, "&gt;=" &amp; TIME(17,0,0), $B:$B, "&lt;" &amp; TIME(18,0,0))/10</f>
        <v>#DIV/0!</v>
      </c>
      <c r="O19" s="5" t="e">
        <f>AVERAGEIFS(G:G, $A:$A, "=" &amp; DATE(2025,12,12), $B:$B, "&gt;=" &amp; TIME(17,0,0), $B:$B, "&lt;" &amp; TIME(18,0,0))/10</f>
        <v>#DIV/0!</v>
      </c>
    </row>
    <row r="20" spans="1:15" x14ac:dyDescent="0.3">
      <c r="A20" s="1">
        <v>46003</v>
      </c>
      <c r="B20" s="2">
        <v>0.17197916666666666</v>
      </c>
      <c r="C20">
        <v>95</v>
      </c>
      <c r="D20" s="3">
        <v>9.08</v>
      </c>
      <c r="E20">
        <v>91</v>
      </c>
      <c r="F20" s="3">
        <v>9.57</v>
      </c>
      <c r="G20">
        <v>0</v>
      </c>
      <c r="J20" t="s">
        <v>8</v>
      </c>
      <c r="K20" s="6" t="e">
        <f>AVERAGEIFS(C:C, $A:$A, "=" &amp; DATE(2025,12,12), $B:$B, "&gt;=" &amp; TIME(18,0,0), $B:$B, "&lt;" &amp; TIME(19,0,0))/10</f>
        <v>#DIV/0!</v>
      </c>
      <c r="L20" s="6" t="e">
        <f>AVERAGEIFS(E:E, $A:$A, "=" &amp; DATE(2025,12,12), $B:$B, "&gt;=" &amp; TIME(18,0,0), $B:$B, "&lt;" &amp; TIME(19,0,0))/10</f>
        <v>#DIV/0!</v>
      </c>
      <c r="M20" s="9" t="e">
        <f>AVERAGEIFS(D:D, $A:$A, "=" &amp; DATE(2025,12,12), $B:$B, "&gt;=" &amp; TIME(18,0,0), $B:$B, "&lt;" &amp; TIME(19,0,0))/10</f>
        <v>#DIV/0!</v>
      </c>
      <c r="N20" s="9" t="e">
        <f>AVERAGEIFS(F:F, $A:$A, "=" &amp; DATE(2025,12,12), $B:$B, "&gt;=" &amp; TIME(18,0,0), $B:$B, "&lt;" &amp; TIME(19,0,0))/10</f>
        <v>#DIV/0!</v>
      </c>
      <c r="O20" s="5" t="e">
        <f>AVERAGEIFS(G:G, $A:$A, "=" &amp; DATE(2025,12,12), $B:$B, "&gt;=" &amp; TIME(18,0,0), $B:$B, "&lt;" &amp; TIME(19,0,0))</f>
        <v>#DIV/0!</v>
      </c>
    </row>
    <row r="21" spans="1:15" x14ac:dyDescent="0.3">
      <c r="A21" s="1">
        <v>46003</v>
      </c>
      <c r="B21" s="2">
        <v>0.18586805555555555</v>
      </c>
      <c r="C21">
        <v>94</v>
      </c>
      <c r="D21" s="3">
        <v>9.07</v>
      </c>
      <c r="E21">
        <v>90</v>
      </c>
      <c r="F21" s="3">
        <v>9.59</v>
      </c>
      <c r="G21">
        <v>0</v>
      </c>
      <c r="J21" t="s">
        <v>9</v>
      </c>
      <c r="K21" s="6" t="e">
        <f>AVERAGEIFS(C:C, $A:$A, "=" &amp; DATE(2025,12,12), $B:$B, "&gt;=" &amp; TIME(19,0,0), $B:$B, "&lt;" &amp; TIME(20,0,0))/10</f>
        <v>#DIV/0!</v>
      </c>
      <c r="L21" s="6" t="e">
        <f>AVERAGEIFS(E:E, $A:$A, "=" &amp; DATE(2025,12,12), $B:$B, "&gt;=" &amp; TIME(19,0,0), $B:$B, "&lt;" &amp; TIME(20,0,0))/10</f>
        <v>#DIV/0!</v>
      </c>
      <c r="M21" s="9" t="e">
        <f>AVERAGEIFS(D:D, $A:$A, "=" &amp; DATE(2025,12,12), $B:$B, "&gt;=" &amp; TIME(19,0,0), $B:$B, "&lt;" &amp; TIME(20,0,0))/10</f>
        <v>#DIV/0!</v>
      </c>
      <c r="N21" s="9" t="e">
        <f>AVERAGEIFS(F:F, $A:$A, "=" &amp; DATE(2025,12,12), $B:$B, "&gt;=" &amp; TIME(19,0,0), $B:$B, "&lt;" &amp; TIME(20,0,0))/10</f>
        <v>#DIV/0!</v>
      </c>
      <c r="O21" s="5" t="e">
        <f>AVERAGEIFS(G:G, $A:$A, "=" &amp; DATE(2025,12,12), $B:$B, "&gt;=" &amp; TIME(19,0,0), $B:$B, "&lt;" &amp; TIME(20,0,0))</f>
        <v>#DIV/0!</v>
      </c>
    </row>
    <row r="22" spans="1:15" x14ac:dyDescent="0.3">
      <c r="A22" s="1">
        <v>46003</v>
      </c>
      <c r="B22" s="2">
        <v>0.19975694444444445</v>
      </c>
      <c r="C22">
        <v>94</v>
      </c>
      <c r="D22" s="3">
        <v>9.07</v>
      </c>
      <c r="E22">
        <v>90</v>
      </c>
      <c r="F22" s="3">
        <v>9.64</v>
      </c>
      <c r="G22">
        <v>0</v>
      </c>
      <c r="J22" t="s">
        <v>10</v>
      </c>
      <c r="K22" s="6" t="e">
        <f>AVERAGEIFS(C:C, $A:$A, "=" &amp; DATE(2025,12,12), $B:$B, "&gt;=" &amp; TIME(20,0,0), $B:$B, "&lt;" &amp; TIME(21,0,0))/10</f>
        <v>#DIV/0!</v>
      </c>
      <c r="L22" s="6" t="e">
        <f>AVERAGEIFS(E:E, $A:$A, "=" &amp; DATE(2025,12,12), $B:$B, "&gt;=" &amp; TIME(20,0,0), $B:$B, "&lt;" &amp; TIME(21,0,0))/10</f>
        <v>#DIV/0!</v>
      </c>
      <c r="M22" s="9" t="e">
        <f>AVERAGEIFS(D:D, $A:$A, "=" &amp; DATE(2025,12,12), $B:$B, "&gt;=" &amp; TIME(20,0,0), $B:$B, "&lt;" &amp; TIME(21,0,0))/10</f>
        <v>#DIV/0!</v>
      </c>
      <c r="N22" s="9" t="e">
        <f>AVERAGEIFS(F:F, $A:$A, "=" &amp; DATE(2025,12,12), $B:$B, "&gt;=" &amp; TIME(20,0,0), $B:$B, "&lt;" &amp; TIME(21,0,0))/10</f>
        <v>#DIV/0!</v>
      </c>
      <c r="O22" s="5" t="e">
        <f>AVERAGEIFS(G:G, $A:$A, "=" &amp; DATE(2025,12,12), $B:$B, "&gt;=" &amp; TIME(20,0,0), $B:$B, "&lt;" &amp; TIME(21,0,0))</f>
        <v>#DIV/0!</v>
      </c>
    </row>
    <row r="23" spans="1:15" x14ac:dyDescent="0.3">
      <c r="A23" s="1">
        <v>46003</v>
      </c>
      <c r="B23" s="2">
        <v>0.23447916666666666</v>
      </c>
      <c r="C23">
        <v>93</v>
      </c>
      <c r="D23" s="3">
        <v>9.07</v>
      </c>
      <c r="E23">
        <v>88</v>
      </c>
      <c r="F23" s="3">
        <v>9.82</v>
      </c>
      <c r="G23">
        <v>0</v>
      </c>
      <c r="J23" t="s">
        <v>11</v>
      </c>
      <c r="K23" s="6" t="e">
        <f>AVERAGEIFS(C:C, $A:$A, "=" &amp; DATE(2025,12,12), $B:$B, "&gt;=" &amp; TIME(21,0,0), $B:$B, "&lt;" &amp; TIME(22,0,0))/10</f>
        <v>#DIV/0!</v>
      </c>
      <c r="L23" s="6" t="e">
        <f>AVERAGEIFS(E:E, $A:$A, "=" &amp; DATE(2025,12,12), $B:$B, "&gt;=" &amp; TIME(21,0,0), $B:$B, "&lt;" &amp; TIME(22,0,0))/10</f>
        <v>#DIV/0!</v>
      </c>
      <c r="M23" s="9" t="e">
        <f>AVERAGEIFS(D:D, $A:$A, "=" &amp; DATE(2025,12,12), $B:$B, "&gt;=" &amp; TIME(21,0,0), $B:$B, "&lt;" &amp; TIME(22,0,0))/10</f>
        <v>#DIV/0!</v>
      </c>
      <c r="N23" s="9" t="e">
        <f>AVERAGEIFS(F:F, $A:$A, "=" &amp; DATE(2025,12,12), $B:$B, "&gt;=" &amp; TIME(21,0,0), $B:$B, "&lt;" &amp; TIME(22,0,0))/10</f>
        <v>#DIV/0!</v>
      </c>
      <c r="O23" s="5" t="e">
        <f>AVERAGEIFS(G:G, $A:$A, "=" &amp; DATE(2025,12,12), $B:$B, "&gt;=" &amp; TIME(21,0,0), $B:$B, "&lt;" &amp; TIME(22,0,0))</f>
        <v>#DIV/0!</v>
      </c>
    </row>
    <row r="24" spans="1:15" x14ac:dyDescent="0.3">
      <c r="A24" s="1">
        <v>46003</v>
      </c>
      <c r="B24" s="2">
        <v>0.2414236111111111</v>
      </c>
      <c r="C24">
        <v>93</v>
      </c>
      <c r="D24" s="3">
        <v>9.07</v>
      </c>
      <c r="E24">
        <v>87</v>
      </c>
      <c r="F24" s="3">
        <v>9.82</v>
      </c>
      <c r="G24">
        <v>0</v>
      </c>
      <c r="J24" t="s">
        <v>12</v>
      </c>
      <c r="K24" s="6" t="e">
        <f>AVERAGEIFS(C:C, $A:$A, "=" &amp; DATE(2025,12,12), $B:$B, "&gt;=" &amp; TIME(22,0,0), $B:$B, "&lt;" &amp; TIME(23,0,0))/10</f>
        <v>#DIV/0!</v>
      </c>
      <c r="L24" s="6" t="e">
        <f>AVERAGEIFS(E:E, $A:$A, "=" &amp; DATE(2025,12,12), $B:$B, "&gt;=" &amp; TIME(22,0,0), $B:$B, "&lt;" &amp; TIME(23,0,0))/10</f>
        <v>#DIV/0!</v>
      </c>
      <c r="M24" s="9" t="e">
        <f>AVERAGEIFS(D:D, $A:$A, "=" &amp; DATE(2025,12,12), $B:$B, "&gt;=" &amp; TIME(22,0,0), $B:$B, "&lt;" &amp; TIME(23,0,0))/10</f>
        <v>#DIV/0!</v>
      </c>
      <c r="N24" s="9" t="e">
        <f>AVERAGEIFS(F:F, $A:$A, "=" &amp; DATE(2025,12,12), $B:$B, "&gt;=" &amp; TIME(22,0,0), $B:$B, "&lt;" &amp; TIME(23,0,0))/10</f>
        <v>#DIV/0!</v>
      </c>
      <c r="O24" s="5" t="e">
        <f>AVERAGEIFS(G:G, $A:$A, "=" &amp; DATE(2025,12,12), $B:$B, "&gt;=" &amp; TIME(22,0,0), $B:$B, "&lt;" &amp; TIME(23,0,0))</f>
        <v>#DIV/0!</v>
      </c>
    </row>
    <row r="25" spans="1:15" x14ac:dyDescent="0.3">
      <c r="A25" s="1">
        <v>46003</v>
      </c>
      <c r="B25" s="2">
        <v>0.24836805555555555</v>
      </c>
      <c r="C25">
        <v>93</v>
      </c>
      <c r="D25" s="3">
        <v>9.06</v>
      </c>
      <c r="E25">
        <v>87</v>
      </c>
      <c r="F25" s="3">
        <v>9.81</v>
      </c>
      <c r="G25">
        <v>0</v>
      </c>
      <c r="J25" t="s">
        <v>13</v>
      </c>
      <c r="K25" s="6" t="e">
        <f>AVERAGEIFS(C:C, $A:$A, "=" &amp; DATE(2025,12,12), $B:$B, "&gt;=" &amp; TIME(23,0,0), $B:$B, "&lt;" &amp; TIME(23,59,59))/10</f>
        <v>#DIV/0!</v>
      </c>
      <c r="L25" s="6" t="e">
        <f>AVERAGEIFS(E:E, $A:$A, "=" &amp; DATE(2025,12,12), $B:$B, "&gt;=" &amp; TIME(23,0,0), $B:$B, "&lt;" &amp; TIME(23,59,59))/10</f>
        <v>#DIV/0!</v>
      </c>
      <c r="M25" s="9" t="e">
        <f>AVERAGEIFS(D:D, $A:$A, "=" &amp; DATE(2025,12,12), $B:$B, "&gt;=" &amp; TIME(23,0,0), $B:$B, "&lt;" &amp; TIME(23,59,59))/10</f>
        <v>#DIV/0!</v>
      </c>
      <c r="N25" s="9" t="e">
        <f>AVERAGEIFS(F:F, $A:$A, "=" &amp; DATE(2025,12,12), $B:$B, "&gt;=" &amp; TIME(23,0,0), $B:$B, "&lt;" &amp; TIME(23,59,59))/10</f>
        <v>#DIV/0!</v>
      </c>
      <c r="O25" s="5" t="e">
        <f>AVERAGEIFS(G:G, $A:$A, "=" &amp; DATE(2025,12,12), $B:$B, "&gt;=" &amp; TIME(23,0,0), $B:$B, "&lt;" &amp; TIME(23,59,59))</f>
        <v>#DIV/0!</v>
      </c>
    </row>
    <row r="26" spans="1:15" x14ac:dyDescent="0.3">
      <c r="A26" s="1">
        <v>46003</v>
      </c>
      <c r="B26" s="2">
        <v>0.2553125</v>
      </c>
      <c r="C26">
        <v>92</v>
      </c>
      <c r="D26" s="3">
        <v>9.07</v>
      </c>
      <c r="E26">
        <v>87</v>
      </c>
      <c r="F26" s="3">
        <v>9.83</v>
      </c>
      <c r="G26">
        <v>0</v>
      </c>
    </row>
    <row r="27" spans="1:15" x14ac:dyDescent="0.3">
      <c r="A27" s="1">
        <v>46003</v>
      </c>
      <c r="B27" s="2">
        <v>0.26920138888888889</v>
      </c>
      <c r="C27">
        <v>92</v>
      </c>
      <c r="D27" s="3">
        <v>9.07</v>
      </c>
      <c r="E27">
        <v>87</v>
      </c>
      <c r="F27" s="3">
        <v>9.7899999999999991</v>
      </c>
      <c r="G27">
        <v>0</v>
      </c>
    </row>
    <row r="28" spans="1:15" x14ac:dyDescent="0.3">
      <c r="A28" s="1">
        <v>46003</v>
      </c>
      <c r="B28" s="2">
        <v>0.27614583333333331</v>
      </c>
      <c r="C28">
        <v>92</v>
      </c>
      <c r="D28" s="3">
        <v>9.07</v>
      </c>
      <c r="E28">
        <v>87</v>
      </c>
      <c r="F28" s="3">
        <v>9.77</v>
      </c>
      <c r="G28">
        <v>0</v>
      </c>
    </row>
    <row r="29" spans="1:15" x14ac:dyDescent="0.3">
      <c r="A29" s="1">
        <v>46003</v>
      </c>
      <c r="B29" s="2">
        <v>0.28309027777777779</v>
      </c>
      <c r="C29">
        <v>92</v>
      </c>
      <c r="D29" s="3">
        <v>9.07</v>
      </c>
      <c r="E29">
        <v>87</v>
      </c>
      <c r="F29" s="3">
        <v>9.7799999999999994</v>
      </c>
      <c r="G29">
        <v>0</v>
      </c>
    </row>
    <row r="30" spans="1:15" x14ac:dyDescent="0.3">
      <c r="A30" s="1">
        <v>46003</v>
      </c>
      <c r="B30" s="2">
        <v>0.29003472222222221</v>
      </c>
      <c r="C30">
        <v>91</v>
      </c>
      <c r="D30" s="3">
        <v>9.06</v>
      </c>
      <c r="E30">
        <v>86</v>
      </c>
      <c r="F30" s="3">
        <v>9.77</v>
      </c>
      <c r="G30">
        <v>0</v>
      </c>
    </row>
    <row r="31" spans="1:15" x14ac:dyDescent="0.3">
      <c r="A31" s="1">
        <v>46003</v>
      </c>
      <c r="B31" s="2">
        <v>0.29697916666666668</v>
      </c>
      <c r="C31">
        <v>91</v>
      </c>
      <c r="D31" s="3">
        <v>9.06</v>
      </c>
      <c r="E31">
        <v>86</v>
      </c>
      <c r="F31" s="3">
        <v>9.73</v>
      </c>
      <c r="G31">
        <v>0</v>
      </c>
    </row>
    <row r="32" spans="1:15" x14ac:dyDescent="0.3">
      <c r="A32" s="1">
        <v>46003</v>
      </c>
      <c r="B32" s="2">
        <v>0.31086805555555558</v>
      </c>
      <c r="C32">
        <v>90</v>
      </c>
      <c r="D32" s="3">
        <v>9.0500000000000007</v>
      </c>
      <c r="E32">
        <v>85</v>
      </c>
      <c r="F32" s="3">
        <v>9.59</v>
      </c>
      <c r="G32">
        <v>0</v>
      </c>
    </row>
    <row r="33" spans="1:7" x14ac:dyDescent="0.3">
      <c r="A33" s="1">
        <v>46003</v>
      </c>
      <c r="B33" s="2">
        <v>0.3178125</v>
      </c>
      <c r="C33">
        <v>90</v>
      </c>
      <c r="D33" s="3">
        <v>9.0500000000000007</v>
      </c>
      <c r="E33">
        <v>86</v>
      </c>
      <c r="F33" s="3">
        <v>9.57</v>
      </c>
      <c r="G33">
        <v>0</v>
      </c>
    </row>
    <row r="34" spans="1:7" x14ac:dyDescent="0.3">
      <c r="A34" s="1">
        <v>46003</v>
      </c>
      <c r="B34" s="2">
        <v>0.32475694444444442</v>
      </c>
      <c r="C34">
        <v>90</v>
      </c>
      <c r="D34" s="3">
        <v>9.0500000000000007</v>
      </c>
      <c r="E34">
        <v>86</v>
      </c>
      <c r="F34" s="3">
        <v>9.41</v>
      </c>
      <c r="G34">
        <v>0</v>
      </c>
    </row>
    <row r="35" spans="1:7" x14ac:dyDescent="0.3">
      <c r="A35" s="1">
        <v>46003</v>
      </c>
      <c r="B35" s="2">
        <v>0.33864583333333331</v>
      </c>
      <c r="C35">
        <v>89</v>
      </c>
      <c r="D35" s="3">
        <v>9.06</v>
      </c>
      <c r="E35">
        <v>85</v>
      </c>
      <c r="F35" s="3">
        <v>9.51</v>
      </c>
      <c r="G35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EksamensProjektDALO</vt:lpstr>
      <vt:lpstr>9dec</vt:lpstr>
      <vt:lpstr>10dec</vt:lpstr>
      <vt:lpstr>11dec</vt:lpstr>
      <vt:lpstr>12dec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</dc:creator>
  <cp:lastModifiedBy>Lea Mette Jacobsen</cp:lastModifiedBy>
  <dcterms:created xsi:type="dcterms:W3CDTF">2025-12-12T11:56:58Z</dcterms:created>
  <dcterms:modified xsi:type="dcterms:W3CDTF">2025-12-16T12:05:38Z</dcterms:modified>
</cp:coreProperties>
</file>